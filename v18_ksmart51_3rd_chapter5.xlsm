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mc:AlternateContent xmlns:mc="http://schemas.openxmlformats.org/markup-compatibility/2006">
    <mc:Choice Requires="x15">
      <x15ac:absPath xmlns:x15ac="http://schemas.microsoft.com/office/spreadsheetml/2010/11/ac" url="D:\parkeunsoo\mysqlwork51\team03_last\"/>
    </mc:Choice>
  </mc:AlternateContent>
  <bookViews>
    <workbookView xWindow="-105" yWindow="-105" windowWidth="23250" windowHeight="12450" tabRatio="500" activeTab="6"/>
  </bookViews>
  <sheets>
    <sheet name="00_팀프로젝트_큰틀" sheetId="1" r:id="rId1"/>
    <sheet name="00_주의사항" sheetId="2" r:id="rId2"/>
    <sheet name="00_목록" sheetId="3" r:id="rId3"/>
    <sheet name="01_프로젝트개요" sheetId="4" r:id="rId4"/>
    <sheet name="02_시스템구조도(흐름도)" sheetId="5" state="hidden" r:id="rId5"/>
    <sheet name="03_기능정의서" sheetId="6" r:id="rId6"/>
    <sheet name="05_상세자료입력" sheetId="7" r:id="rId7"/>
    <sheet name="04_데이터사전" sheetId="8" state="hidden" r:id="rId8"/>
    <sheet name="06_DB(객체)목록" sheetId="9" state="hidden" r:id="rId9"/>
    <sheet name="07_테이블정의서" sheetId="10" state="hidden" r:id="rId10"/>
    <sheet name="08_ERD" sheetId="11" state="hidden" r:id="rId11"/>
    <sheet name="09_DB백업(테이블생성및insert)" sheetId="12" state="hidden" r:id="rId12"/>
    <sheet name="10_Query문장테스트" sheetId="13" state="hidden" r:id="rId13"/>
    <sheet name="11_네이밍규칙" sheetId="14" state="hidden" r:id="rId14"/>
    <sheet name="12_화면프로그램목록" sheetId="15" state="hidden" r:id="rId15"/>
    <sheet name="13_화면설계서" sheetId="16" state="hidden" r:id="rId16"/>
    <sheet name="14_화면경로" sheetId="17" state="hidden" r:id="rId17"/>
    <sheet name="15_클래스경로" sheetId="18" state="hidden" r:id="rId18"/>
    <sheet name="16_URI매핑" sheetId="19" state="hidden" r:id="rId19"/>
    <sheet name="17_사이트맵" sheetId="20" state="hidden" r:id="rId20"/>
    <sheet name="18_프로젝트상세일정" sheetId="21" state="hidden" r:id="rId21"/>
  </sheets>
  <definedNames>
    <definedName name="_xlnm._FilterDatabase" localSheetId="2" hidden="1">'00_목록'!$B$15:$T$15</definedName>
    <definedName name="_xlnm._FilterDatabase" localSheetId="6">'05_상세자료입력'!#REF!</definedName>
  </definedNames>
  <calcPr calcId="162913"/>
  <extLst>
    <ext xmlns:loext="http://schemas.libreoffice.org/" uri="{7626C862-2A13-11E5-B345-FEFF819CDC9F}">
      <loext:extCalcPr stringRefSyntax="ExcelA1"/>
    </ext>
  </extLst>
</workbook>
</file>

<file path=xl/calcChain.xml><?xml version="1.0" encoding="utf-8"?>
<calcChain xmlns="http://schemas.openxmlformats.org/spreadsheetml/2006/main">
  <c r="L243" i="7" l="1"/>
  <c r="L242" i="7"/>
  <c r="L241" i="7"/>
  <c r="L240" i="7"/>
  <c r="F20" i="7"/>
  <c r="E258" i="7" l="1"/>
  <c r="E259" i="7"/>
  <c r="E260" i="7"/>
  <c r="I139" i="7"/>
  <c r="I140" i="7"/>
  <c r="I141" i="7"/>
  <c r="N2" i="7" l="1"/>
  <c r="D20" i="7"/>
  <c r="H82" i="7"/>
  <c r="H83" i="7"/>
  <c r="H84" i="7"/>
  <c r="F99" i="7"/>
  <c r="F100" i="7"/>
  <c r="F101" i="7"/>
  <c r="F102" i="7"/>
  <c r="L53" i="7"/>
  <c r="M53" i="7"/>
  <c r="L54" i="7"/>
  <c r="M54" i="7"/>
  <c r="L55" i="7"/>
  <c r="M55" i="7"/>
  <c r="L56" i="7"/>
  <c r="M56" i="7"/>
  <c r="L57" i="7"/>
  <c r="M57" i="7"/>
  <c r="L58" i="7"/>
  <c r="M58" i="7"/>
  <c r="I173" i="7"/>
  <c r="I174" i="7"/>
  <c r="I175" i="7"/>
  <c r="J175" i="7" s="1"/>
  <c r="G276" i="7"/>
  <c r="G277" i="7"/>
  <c r="G278" i="7"/>
  <c r="I284" i="7"/>
  <c r="I285" i="7"/>
  <c r="I286" i="7"/>
  <c r="P28" i="21" l="1"/>
  <c r="O28" i="21"/>
  <c r="O27" i="21"/>
  <c r="Q27" i="21" s="1"/>
  <c r="O26" i="21"/>
  <c r="Q26" i="21" s="1"/>
  <c r="O25" i="21"/>
  <c r="Q25" i="21" s="1"/>
  <c r="O24" i="21"/>
  <c r="Q24" i="21" s="1"/>
  <c r="O23" i="21"/>
  <c r="Q23" i="21" s="1"/>
  <c r="Q22" i="21"/>
  <c r="O22" i="21"/>
  <c r="O21" i="21"/>
  <c r="Q21" i="21" s="1"/>
  <c r="O20" i="21"/>
  <c r="Q20" i="21" s="1"/>
  <c r="O19" i="21"/>
  <c r="Q19" i="21" s="1"/>
  <c r="O18" i="21"/>
  <c r="Q18" i="21" s="1"/>
  <c r="O17" i="21"/>
  <c r="Q17" i="21" s="1"/>
  <c r="O16" i="21"/>
  <c r="Q16" i="21" s="1"/>
  <c r="E6" i="21"/>
  <c r="N5" i="21"/>
  <c r="E5" i="21"/>
  <c r="P2" i="20"/>
  <c r="P2" i="19"/>
  <c r="E6" i="18"/>
  <c r="P5" i="18"/>
  <c r="E5" i="18"/>
  <c r="E6" i="17"/>
  <c r="Q5" i="17"/>
  <c r="E5" i="17"/>
  <c r="P2" i="16"/>
  <c r="E6" i="15"/>
  <c r="P5" i="15"/>
  <c r="E5" i="15"/>
  <c r="P2" i="14"/>
  <c r="P2" i="13"/>
  <c r="P2" i="12"/>
  <c r="P2" i="11"/>
  <c r="U2" i="10"/>
  <c r="U2" i="9"/>
  <c r="X2" i="8"/>
  <c r="F3" i="6"/>
  <c r="F2" i="6"/>
  <c r="P2" i="5"/>
  <c r="P2" i="3"/>
  <c r="P2" i="2"/>
  <c r="Q28" i="21" l="1"/>
</calcChain>
</file>

<file path=xl/comments1.xml><?xml version="1.0" encoding="utf-8"?>
<comments xmlns="http://schemas.openxmlformats.org/spreadsheetml/2006/main">
  <authors>
    <author>ECS</author>
  </authors>
  <commentList>
    <comment ref="E77" authorId="0" shapeId="0">
      <text>
        <r>
          <rPr>
            <b/>
            <sz val="9"/>
            <color indexed="81"/>
            <rFont val="돋움"/>
            <family val="3"/>
            <charset val="129"/>
          </rPr>
          <t xml:space="preserve">
등록되지</t>
        </r>
        <r>
          <rPr>
            <b/>
            <sz val="9"/>
            <color indexed="81"/>
            <rFont val="Tahoma"/>
            <family val="2"/>
          </rPr>
          <t xml:space="preserve"> </t>
        </r>
        <r>
          <rPr>
            <b/>
            <sz val="9"/>
            <color indexed="81"/>
            <rFont val="돋움"/>
            <family val="3"/>
            <charset val="129"/>
          </rPr>
          <t>않은</t>
        </r>
        <r>
          <rPr>
            <b/>
            <sz val="9"/>
            <color indexed="81"/>
            <rFont val="Tahoma"/>
            <family val="2"/>
          </rPr>
          <t xml:space="preserve"> </t>
        </r>
        <r>
          <rPr>
            <b/>
            <sz val="9"/>
            <color indexed="81"/>
            <rFont val="돋움"/>
            <family val="3"/>
            <charset val="129"/>
          </rPr>
          <t>업체로</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카카오</t>
        </r>
        <r>
          <rPr>
            <b/>
            <sz val="9"/>
            <color indexed="81"/>
            <rFont val="Tahoma"/>
            <family val="2"/>
          </rPr>
          <t>,</t>
        </r>
        <r>
          <rPr>
            <b/>
            <sz val="9"/>
            <color indexed="81"/>
            <rFont val="돋움"/>
            <family val="3"/>
            <charset val="129"/>
          </rPr>
          <t>네이버로</t>
        </r>
        <r>
          <rPr>
            <b/>
            <sz val="9"/>
            <color indexed="81"/>
            <rFont val="Tahoma"/>
            <family val="2"/>
          </rPr>
          <t xml:space="preserve"> </t>
        </r>
        <r>
          <rPr>
            <b/>
            <sz val="9"/>
            <color indexed="81"/>
            <rFont val="돋움"/>
            <family val="3"/>
            <charset val="129"/>
          </rPr>
          <t>연동</t>
        </r>
      </text>
    </comment>
  </commentList>
</comments>
</file>

<file path=xl/sharedStrings.xml><?xml version="1.0" encoding="utf-8"?>
<sst xmlns="http://schemas.openxmlformats.org/spreadsheetml/2006/main" count="3542" uniqueCount="1988">
  <si>
    <t>과정명</t>
  </si>
  <si>
    <t>[디지털컨버전스] ICT융합 풀스택(자바/스프링) 개발자 양성과정A</t>
  </si>
  <si>
    <t>작성자</t>
  </si>
  <si>
    <t>홍길순</t>
  </si>
  <si>
    <t>훈련기간</t>
  </si>
  <si>
    <t>2024-02-19~2024-08-01</t>
  </si>
  <si>
    <t>작성일</t>
  </si>
  <si>
    <t>참고사항</t>
  </si>
  <si>
    <t>주제선정 - 시스템구조
1. SW개발사에 계약(회원가입) 후 사용하는 플랫폼
예) 배달에 민족 : 개발회사 / 식당 사장님 / 주문고객
월,6개월,년 사용료 지급 / 수수료
2. SW개발사에서 개발 및 유지보수만 담당
본사와 지사(지점) 플랫폼(시스템)
3. SW개발사에서 개발 및 유지보수만 담당
공공 또는 민간에서 00 플랫폼(시스템)
4. 하나의 시스템을 하나의 고객(개인,기업,공공) 이 사용 - 안한다
* 공통 기능
* 팀별 별도 기능</t>
  </si>
  <si>
    <t>* 주제선정 구조
* 팀프로젝트 주의 사항
1) 서로의 의견을 존중하고 있는가?
2) 나와 다른 의견은 근거를 갖고 설득 하고 있나?
3) 사람의 높고 낮음은 없다(평등하다) 생각하는가?
4) 적극적으로 참여하고 있는가?
5) 너무 쉽게 프로젝트를 진행하려 하고 있는가?
6) 너무 어렵게 프로젝트를 진행하려고 하는가?
7) 나는 다른 사람에게 긍정적 영향을 끼치는 사람인가?
부정적인 영향을 끼치는 사람인가?
* 팀프로젝트 주제 선정시 고려 사항
1) 최소 3가지 권한별 기능 구분 가능한가? 권한 별로 상/벌 관계가 있는가?
2) 참고 사이트 또는 참고 자료가 많은가?
3) 공공 또는 민간 외부 데이터(API)를 활용 하여 신규 시스템에 기능을 추가 할 수 있는가? 신규 시스템에서 API를 제공 할 수 있는가? 
data.go.kr
4) HW(하드웨어) 를 가정 하여 HW로 부터 입력 받을 자료가 있는가? HW에 입력 할 자료가 있는가?
5) 빅데이터(과거데이터)를 분석 하여 미래를 예측 가능한가?
6) 프로세스가 너무 쉬워도 안되고 너무 어려워도 안된다</t>
  </si>
  <si>
    <t>* 로그확인하는 리눅스명령어일부
putty 검색 해서 다운로드
아이디.cafe24.com
접속 후 아이디와 비번 입력하면 리눅스 화면이 보인다.
pwd  현 경로 확인
ls  폴더내 파일 리스트 확인
 cd to 입력 후 Tab키 클릭 (자동완성)
cd tomcat
ls -al 
cd logs
catalina.out 파일이 있다
- 로그 기록
cat cat 입력 후 Tab키 클릭 (자동완성)
cat catalina.out
실시간 로그분석 명령어 (tail)
tail -f catalina.out</t>
  </si>
  <si>
    <t>*구현시진행상황
1) 03_소스코드ing
1팀_개인별구현상세일정
2) 컨트롤러 -&gt; 뷰
메뉴구분(화면 연결 흐름을 완료 하자)
#메뉴1(홍길동) - 아무것도 안된 상태
!메뉴2(김길동) - 화면 연결만 완료
메뉴3(이길동) - 처리과정까지 완료
3) 완료보고서 작성 가능
4) remote DB 접속해서 작업
5) 최소 기준으로 주2회 - 배포 완료 후 배포일자 화면에 표시
6) 로그인 처리 완료되면 아이디,비번은 바로 접속 가능하도록 하자
* 로그인 버튼만 클릭하면 실행 가능하도록 하자
7) 개인별 cafe24 호스팅 받는 상황을 고려해서 처음 화면은 개인 소개화면이 되도록 구성</t>
  </si>
  <si>
    <t xml:space="preserve">
8) 면접 전후에 상황
블로그 &lt;-&gt; cafe24 &lt;-&gt; git 등 에서 서로 접속되도록 하자
* 완료보고서를 인사담당자가 확인 하도록 실행결과 확인 하도록 유도하자!
9) 팀프로젝트 결과물을 다양한 방법으로 만들자!
예) youtube 활용 / 기타 다른 방법 등
첨부파일 다운로그 하지 않고도 볼수 있는 방법 제공
10) 면접시 - 팀프로젝트 결과물 1부 출력(철을 해서 가져가자)
* 면접 끝나면 가져오자!
11) 완료보고서 - 느낀점(보완사항)
* 구현 계획을 완료하지 않았다의 느낌이 보완사항이 아니다
* 계획만큼 완료는 했으나 향 후 보완해야할 점을 간단하게 언급
* 아니면 느낀점 등 삭제
12) git 아닌 03_소스코드ing 에도 별도 백업파일을 날짜별로 백업하자!
날짜_1)DB백업파일2)아카이브백업파일3)ROOT배포파일4)구현진행문서
13) 엑셀 상세데이터와 일치하도록 테이블생성 및 insert완료
중간에 DB구조,값들이 변경되면 엑셀과 일치하도록 버전 관리
14) 모든 패키지,클래스,인터페이스,폴더,파일 등 생성 후 작업
15) URI - get,post 매핑 경로 문서 별도로 작성(엑셀 sheet 추가도 가능)
</t>
  </si>
  <si>
    <t>팀원 or 조원 or 개인 : 홍길동,김길동,이길동,최길동
no / 작성자 / 제목 / version / 작성일 / 작성시각 / 버전 근거 내용
* 목차는 1)진행중/2)검토요청/3)최종승인으로 구분해서 진행합니다.
진행중은 문서 진행 중 / 검토요청은 훈련교사에게 검토요청 / 최종승인은 최종 완료 문서로 구분
* 버전 번호는 검토 횟수를 확인 하기 위한 용도 포함
* 프로젝트 주제 선정시 고려 사항
1) 최소 3가지 권한별 기능 구분 가능한가? 권한 별로 상/벌 관계가 있는가?
2) 참고 사이트 또는 참고 자료가 많은가?
3) 공공 또는 민간 외부 데이터(API)를 활용 하여 신규 시스템에 기능을 추가 할 수 있는가? 신규 시스템에서 API를 제공 할 수 있는가? 
4) HW(하드웨어) 를 가정 하여 HW로 부터 입력 받을 자료가 있는가? HW에 입력 할 자료가 있는가?
5) 빅데이터(과거데이터)를 분석 하여 미래를 예측 가능한가?</t>
  </si>
  <si>
    <t>개발문서 목록</t>
  </si>
  <si>
    <t>no</t>
  </si>
  <si>
    <t>개발문서명</t>
  </si>
  <si>
    <t>최종 버전 문서명</t>
  </si>
  <si>
    <t>최종버전번호</t>
  </si>
  <si>
    <t>진행상황</t>
  </si>
  <si>
    <t>검토요청일자</t>
  </si>
  <si>
    <t>01 프로젝트개요</t>
  </si>
  <si>
    <t>01_작성자_개요_v01_년월일_시각</t>
  </si>
  <si>
    <t>v01</t>
  </si>
  <si>
    <t>1)진행중</t>
  </si>
  <si>
    <t>02 시스템구조도(흐름도)</t>
  </si>
  <si>
    <t>02_작성자_시스템구조도_v01_년월일_시각</t>
  </si>
  <si>
    <t>2)검토요청</t>
  </si>
  <si>
    <t>03 기능정의서</t>
  </si>
  <si>
    <t>03_작성자_기능정의서_v01_년월일_시각</t>
  </si>
  <si>
    <t>3)최종승인</t>
  </si>
  <si>
    <t>04 데이터사전</t>
  </si>
  <si>
    <t>04_작성자_데이터사전_v01_년월일_시각</t>
  </si>
  <si>
    <t>05 상세자료입력</t>
  </si>
  <si>
    <t>05_작성자_상세자료_v01_년월일_시각</t>
  </si>
  <si>
    <t>06 DB(객체) 목록</t>
  </si>
  <si>
    <t>06_작성자_DB(객체)목록_v01_년월일_시각</t>
  </si>
  <si>
    <t>07 테이블 정의서</t>
  </si>
  <si>
    <t>07_작성자_테이블정의서_v01_년월일_시각</t>
  </si>
  <si>
    <t>08 ERD</t>
  </si>
  <si>
    <t>08_작성자_ERD_v01_년월일_시각</t>
  </si>
  <si>
    <t>09_DB백업(테이블생성및insert)</t>
  </si>
  <si>
    <t>09_작성자_Query테스트_v01_년월일_시각</t>
  </si>
  <si>
    <t>10 Query 테스트</t>
  </si>
  <si>
    <t>11 네이밍규칙</t>
  </si>
  <si>
    <t>10_작성자_네이밍규칙_v01_년월일_시각</t>
  </si>
  <si>
    <t>12 화면프로그램 목록</t>
  </si>
  <si>
    <t>11_작성자_화면프로그램목록_v01_년월일_시각</t>
  </si>
  <si>
    <t>13 화면설계서</t>
  </si>
  <si>
    <t>12_작성자_화면설계서_v01_년월일_시각</t>
  </si>
  <si>
    <t>14 화면경로</t>
  </si>
  <si>
    <t>13_작성자_화면경로_v01_년월일_시각</t>
  </si>
  <si>
    <t>15 클래스경로</t>
  </si>
  <si>
    <t>14_작성자_클래스경로_v01_년월일_시각</t>
  </si>
  <si>
    <t>16 URI매핑</t>
  </si>
  <si>
    <t>15_작성자_URI매핑_v01_년월일_시각</t>
  </si>
  <si>
    <t>17 sitemap
IA(Information Architecture)</t>
  </si>
  <si>
    <t>16_작성자_sitemap_v01_년월일_시각</t>
  </si>
  <si>
    <t>18 프로젝트상세일정</t>
  </si>
  <si>
    <t>17_작성자_프로젝트상세일정_v01_년월일_시각</t>
  </si>
  <si>
    <t>송재익</t>
  </si>
  <si>
    <t>VERSION HISTORY</t>
  </si>
  <si>
    <t xml:space="preserve">팀원  : 강승호, 박은수, 송재익, 이성은, 이수성, 한송이 
01_작성자_개요_v1 2024년 04월 16일_10 : 50 / 3팀_회의록
</t>
  </si>
  <si>
    <t>프로젝트명</t>
  </si>
  <si>
    <t>반려동물을 지키는 모든 것 - 플랫폼 (가제)</t>
  </si>
  <si>
    <t>팀명</t>
  </si>
  <si>
    <t>Ksmart51_3팀</t>
  </si>
  <si>
    <t>팀원</t>
  </si>
  <si>
    <t xml:space="preserve">강승호, 박은수, 송재익, 이성은, 이수성, 한송이 </t>
  </si>
  <si>
    <t>목적</t>
  </si>
  <si>
    <r>
      <rPr>
        <sz val="11"/>
        <color rgb="FF000000"/>
        <rFont val="굴림"/>
        <family val="3"/>
        <charset val="129"/>
      </rPr>
      <t xml:space="preserve">* 플랫폼 정보 부족 및 사랑과 정성으로 키운 반려동물에 대한 서비스 집약체
1. 21세기, 출산율 0.7인 현재를 살아가는 모든 반려인 및 반려예정인을 위한, 가족처럼 사랑과 더불어 살아가는 데 필요한 </t>
    </r>
    <r>
      <rPr>
        <b/>
        <sz val="11"/>
        <color rgb="FF000000"/>
        <rFont val="굴림"/>
        <family val="3"/>
        <charset val="129"/>
      </rPr>
      <t xml:space="preserve">[ 반려동물  보호 및 건강 지킴이 ]
</t>
    </r>
    <r>
      <rPr>
        <sz val="11"/>
        <color rgb="FF000000"/>
        <rFont val="굴림"/>
        <family val="3"/>
        <charset val="129"/>
      </rPr>
      <t xml:space="preserve">
2. 태어나줘서 고맙고, 떠나는 그 순간까지 모든 것을 함께 나누며, 아낌없이 해주고픈</t>
    </r>
    <r>
      <rPr>
        <b/>
        <sz val="11"/>
        <color rgb="FF000000"/>
        <rFont val="굴림"/>
        <family val="3"/>
        <charset val="129"/>
      </rPr>
      <t xml:space="preserve"> [ 반려동물 케어 서비스,  반려인 기대수명 및 행복수치 상승 효과 ]</t>
    </r>
    <r>
      <rPr>
        <sz val="11"/>
        <color rgb="FF000000"/>
        <rFont val="굴림"/>
        <family val="3"/>
        <charset val="129"/>
      </rPr>
      <t xml:space="preserve"> 
3. 반려 동물을 키우는 1인 가구 및 반려동물의 도움이 필요한 계층 등  '플랫폼 서비스'를 통해 삶의 질을 향상 시키는</t>
    </r>
    <r>
      <rPr>
        <b/>
        <sz val="11"/>
        <color rgb="FF000000"/>
        <rFont val="굴림"/>
        <family val="3"/>
        <charset val="129"/>
      </rPr>
      <t xml:space="preserve"> [ 사회 전반적인 발전 및 공정성 증진 ] </t>
    </r>
  </si>
  <si>
    <t>개발환경 (예정)</t>
  </si>
  <si>
    <t>*</t>
  </si>
  <si>
    <t>구분</t>
  </si>
  <si>
    <t>개발환경</t>
  </si>
  <si>
    <t>서비스 환경</t>
  </si>
  <si>
    <t>S/W</t>
  </si>
  <si>
    <t>os</t>
  </si>
  <si>
    <t>windows10 or windows11</t>
  </si>
  <si>
    <t>windows10</t>
  </si>
  <si>
    <t>was</t>
  </si>
  <si>
    <t>apache-tomcat-9.0.27</t>
  </si>
  <si>
    <t>ex:) apache-tomcat-9.0.27</t>
  </si>
  <si>
    <t>웹브라우저</t>
  </si>
  <si>
    <t>Chrome, Edge</t>
  </si>
  <si>
    <t>개발언어</t>
  </si>
  <si>
    <t>서버</t>
  </si>
  <si>
    <t>JAVA</t>
  </si>
  <si>
    <t>-</t>
  </si>
  <si>
    <t>클라이언트</t>
  </si>
  <si>
    <t>JavaScript / HTML5 / CSS /  thymeleaf / jQuery</t>
  </si>
  <si>
    <t>Framework</t>
  </si>
  <si>
    <t>bootstrap 4 / SpringFramework  / Mybatis 3.0</t>
  </si>
  <si>
    <t>DBMS</t>
  </si>
  <si>
    <t>MySQL5.5.32</t>
  </si>
  <si>
    <t>MariaDB 10.1</t>
  </si>
  <si>
    <t>Tools</t>
  </si>
  <si>
    <t>소프트웨어 개발도구</t>
  </si>
  <si>
    <t>JDK</t>
  </si>
  <si>
    <t>OpenJDK 8.x</t>
  </si>
  <si>
    <t>통합 개발도구</t>
  </si>
  <si>
    <t xml:space="preserve">Eclipse / Spring Tool Suite /  Visual studio code / </t>
  </si>
  <si>
    <t>기대효과</t>
  </si>
  <si>
    <r>
      <rPr>
        <sz val="11"/>
        <color rgb="FF000000"/>
        <rFont val="굴림"/>
        <family val="3"/>
        <charset val="129"/>
      </rPr>
      <t xml:space="preserve">병원 위치, 치료 가능한 종 등 정보 집약을 통한 </t>
    </r>
    <r>
      <rPr>
        <b/>
        <sz val="11"/>
        <color rgb="FF000000"/>
        <rFont val="굴림"/>
        <family val="3"/>
        <charset val="129"/>
      </rPr>
      <t>의료 서비스 질 향상</t>
    </r>
    <r>
      <rPr>
        <sz val="11"/>
        <color rgb="FF000000"/>
        <rFont val="굴림"/>
        <family val="3"/>
        <charset val="129"/>
      </rPr>
      <t xml:space="preserve"> 및 </t>
    </r>
    <r>
      <rPr>
        <b/>
        <sz val="11"/>
        <color rgb="FF000000"/>
        <rFont val="굴림"/>
        <family val="3"/>
        <charset val="129"/>
      </rPr>
      <t>편리성</t>
    </r>
    <r>
      <rPr>
        <sz val="11"/>
        <color rgb="FF000000"/>
        <rFont val="굴림"/>
        <family val="3"/>
        <charset val="129"/>
      </rPr>
      <t xml:space="preserve"> 증가, 반려인 </t>
    </r>
    <r>
      <rPr>
        <b/>
        <sz val="11"/>
        <color rgb="FF000000"/>
        <rFont val="굴림"/>
        <family val="3"/>
        <charset val="129"/>
      </rPr>
      <t xml:space="preserve">삶의 질 향상 </t>
    </r>
    <r>
      <rPr>
        <sz val="11"/>
        <color rgb="FF000000"/>
        <rFont val="굴림"/>
        <family val="3"/>
        <charset val="129"/>
      </rPr>
      <t xml:space="preserve"> 효과</t>
    </r>
  </si>
  <si>
    <r>
      <rPr>
        <sz val="11"/>
        <color rgb="FF000000"/>
        <rFont val="굴림"/>
        <family val="3"/>
        <charset val="129"/>
      </rPr>
      <t xml:space="preserve">소중한 이를 잘 보내주고픈 반려인을 위한 장례 서비스, 이를 통해 </t>
    </r>
    <r>
      <rPr>
        <b/>
        <sz val="11"/>
        <color rgb="FF000000"/>
        <rFont val="굴림"/>
        <family val="3"/>
        <charset val="129"/>
      </rPr>
      <t>심리적 안정감</t>
    </r>
    <r>
      <rPr>
        <sz val="11"/>
        <color rgb="FF000000"/>
        <rFont val="굴림"/>
        <family val="3"/>
        <charset val="129"/>
      </rPr>
      <t xml:space="preserve"> 및 </t>
    </r>
    <r>
      <rPr>
        <b/>
        <sz val="11"/>
        <color rgb="FF000000"/>
        <rFont val="굴림"/>
        <family val="3"/>
        <charset val="129"/>
      </rPr>
      <t>인간적 배려</t>
    </r>
    <r>
      <rPr>
        <sz val="11"/>
        <color rgb="FF000000"/>
        <rFont val="굴림"/>
        <family val="3"/>
        <charset val="129"/>
      </rPr>
      <t xml:space="preserve"> 효과</t>
    </r>
  </si>
  <si>
    <r>
      <rPr>
        <sz val="11"/>
        <color rgb="FF000000"/>
        <rFont val="굴림"/>
        <family val="3"/>
        <charset val="129"/>
      </rPr>
      <t xml:space="preserve">중간 거래처를 도려내고, 판매자와 사용자의 소통 창구가 되어 주어 </t>
    </r>
    <r>
      <rPr>
        <b/>
        <sz val="11"/>
        <color rgb="FF000000"/>
        <rFont val="굴림"/>
        <family val="3"/>
        <charset val="129"/>
      </rPr>
      <t>투명한 경제 시장 구축 및 업종 활성화 효과</t>
    </r>
  </si>
  <si>
    <r>
      <rPr>
        <sz val="11"/>
        <color rgb="FF000000"/>
        <rFont val="굴림"/>
        <family val="3"/>
        <charset val="129"/>
      </rPr>
      <t xml:space="preserve">특수 동물을 키우거나, 키우길 원하는 반려인들을 위한 커뮤니티 활성화를 통해, </t>
    </r>
    <r>
      <rPr>
        <b/>
        <sz val="11"/>
        <color rgb="FF000000"/>
        <rFont val="굴림"/>
        <family val="3"/>
        <charset val="129"/>
      </rPr>
      <t>육아 안정감 기대 효과  및 데이터 수집 기능</t>
    </r>
    <r>
      <rPr>
        <sz val="11"/>
        <color rgb="FF000000"/>
        <rFont val="굴림"/>
        <family val="3"/>
        <charset val="129"/>
      </rPr>
      <t xml:space="preserve"> </t>
    </r>
  </si>
  <si>
    <r>
      <rPr>
        <sz val="11"/>
        <color rgb="FF000000"/>
        <rFont val="굴림"/>
        <family val="3"/>
        <charset val="129"/>
      </rPr>
      <t xml:space="preserve">병원, 편의시설 등 상세한 이용 후기 및 관련 카테고리 활성화를 통해 서비스 만족감 상승 =&gt; </t>
    </r>
    <r>
      <rPr>
        <b/>
        <sz val="11"/>
        <color rgb="FF000000"/>
        <rFont val="굴림"/>
        <family val="3"/>
        <charset val="129"/>
      </rPr>
      <t>이용자 증감 및 반려인의 필수 가입 플랫폼 기대</t>
    </r>
    <r>
      <rPr>
        <sz val="11"/>
        <color rgb="FF000000"/>
        <rFont val="굴림"/>
        <family val="3"/>
        <charset val="129"/>
      </rPr>
      <t xml:space="preserve"> </t>
    </r>
    <r>
      <rPr>
        <b/>
        <sz val="11"/>
        <color rgb="FF000000"/>
        <rFont val="굴림"/>
        <family val="3"/>
        <charset val="129"/>
      </rPr>
      <t>효과</t>
    </r>
  </si>
  <si>
    <t>참고사이트</t>
  </si>
  <si>
    <t>비마이펫(https://corp.bemypet.kr/)</t>
  </si>
  <si>
    <t>몰루( https://mulu.co.kr/)</t>
  </si>
  <si>
    <t>반려생활(https://www.ban-life.com/)</t>
  </si>
  <si>
    <t>마이펫병원(https://mypethospitals.com/#google_vignette)</t>
  </si>
  <si>
    <t>프로젝트 완료
후 보완할 점</t>
  </si>
  <si>
    <t>* 프로젝트 완료 후 보완할 점은 구현을 못했다는 의미가 아니라 추가 기능이나 추가 보완하면 좋을 내용을 쓰세요</t>
  </si>
  <si>
    <t>팀원 or 조원 or 개인 : 홍길동,김길동,이길동,최길동
no / 작성자 / 제목 / version / 작성일 / 작성시각 / 버전 근거 내용
02_작성자_시스템구조도_v02_년월일_시각 / 00팀_회의록_년월일_시각
02_작성자_시스템구조도_v01_년월일_시각 / 00팀_회의록_년월일_시각</t>
  </si>
  <si>
    <t xml:space="preserve">프로세스 흐름도 </t>
  </si>
  <si>
    <t>시스템구조도</t>
  </si>
  <si>
    <t>서비스별 구조도</t>
  </si>
  <si>
    <t>팀원  : 강승호, 박은수, 송재익, 이성은, 이수성, 한송이 
01_작성자_개요_v1 2024년 04월 16일_10 : 50 / 3팀_회의록</t>
  </si>
  <si>
    <t>기능정의서</t>
  </si>
  <si>
    <t>1. 프로젝트명</t>
  </si>
  <si>
    <t>2. 목적</t>
  </si>
  <si>
    <r>
      <rPr>
        <sz val="11"/>
        <color rgb="FF000000"/>
        <rFont val="굴림"/>
        <family val="3"/>
        <charset val="129"/>
      </rPr>
      <t xml:space="preserve">* 플랫폼 정보 부족 및 사랑과 정성으로 키운 반려동물에 대한 서비스 집약체
1. 21세기, 출산율 0.7인 현재를 살아가는 모든 반려인 및 반려예정인을 위한, 가족처럼 사랑과 더불어 살아가는 데 필요한 
</t>
    </r>
    <r>
      <rPr>
        <b/>
        <sz val="11"/>
        <color rgb="FF000000"/>
        <rFont val="굴림"/>
        <family val="3"/>
        <charset val="129"/>
      </rPr>
      <t xml:space="preserve">[ 반려동물  보호 및 건강 지킴이 ]
</t>
    </r>
    <r>
      <rPr>
        <sz val="11"/>
        <color rgb="FF000000"/>
        <rFont val="굴림"/>
        <family val="3"/>
        <charset val="129"/>
      </rPr>
      <t xml:space="preserve">
2. 태어나줘서 고맙고, 떠나는 그 순간까지 모든 것을 함께 나누며, 아낌없이 해주고픈 
</t>
    </r>
    <r>
      <rPr>
        <b/>
        <sz val="11"/>
        <color rgb="FF000000"/>
        <rFont val="굴림"/>
        <family val="3"/>
        <charset val="129"/>
      </rPr>
      <t xml:space="preserve">[ 반려동물 케어 서비스,  반려인 기대수명 및 행복수치 상승 효과 ] 
</t>
    </r>
    <r>
      <rPr>
        <sz val="11"/>
        <color rgb="FF000000"/>
        <rFont val="굴림"/>
        <family val="3"/>
        <charset val="129"/>
      </rPr>
      <t xml:space="preserve">
3. 반려 동물을 키우는 1인 가구 및 반려동물의 도움이 필요한 계층 등  '플랫폼 서비스'를 통해 삶의 질을 향상 시키는 
</t>
    </r>
    <r>
      <rPr>
        <b/>
        <sz val="11"/>
        <color rgb="FF000000"/>
        <rFont val="굴림"/>
        <family val="3"/>
        <charset val="129"/>
      </rPr>
      <t xml:space="preserve">[ 사회 전반적인 발전 및 공정성 증진 ] </t>
    </r>
  </si>
  <si>
    <t>3. 기능적 요구사항</t>
  </si>
  <si>
    <t>1. API 연동 / 2. 결제 시스템 연동 / 3. 업체 등록 및 해당 사이트 자체 관리 기능</t>
  </si>
  <si>
    <t>4. 사용자 레벨별기능정의</t>
  </si>
  <si>
    <t>일반회원 / 의료(업체) / 의료(직원) / 장례(업체) / 장례(직원) / 판매(업체) / 판매(직원) / 관리자</t>
  </si>
  <si>
    <t>전체기능</t>
  </si>
  <si>
    <t>관리자</t>
  </si>
  <si>
    <t>판매</t>
  </si>
  <si>
    <t>의료</t>
  </si>
  <si>
    <t>장례</t>
  </si>
  <si>
    <t>일반 회원</t>
  </si>
  <si>
    <t>업체</t>
  </si>
  <si>
    <t>직원</t>
  </si>
  <si>
    <t>1.회원관리</t>
  </si>
  <si>
    <t>추가 삽입</t>
  </si>
  <si>
    <t>1.1 회원등록(일/의(업)/의(직)/장(업)/장(직)/판(업)/판(직)/관)</t>
  </si>
  <si>
    <t>1.1 회원등록</t>
  </si>
  <si>
    <t>1.2 회원등록</t>
  </si>
  <si>
    <t>1.3 회원등록</t>
  </si>
  <si>
    <t>1.4 회원등록</t>
  </si>
  <si>
    <t>1.5 회원등록</t>
  </si>
  <si>
    <t>1.6 회원등록</t>
  </si>
  <si>
    <t>1.7 회원등록</t>
  </si>
  <si>
    <t>빼도 되지 않을까?</t>
  </si>
  <si>
    <t>1.2 회원수정</t>
  </si>
  <si>
    <t>수정</t>
  </si>
  <si>
    <t>1.3 회원탈퇴</t>
  </si>
  <si>
    <t>항목</t>
  </si>
  <si>
    <t>1.4 개인회원조회</t>
  </si>
  <si>
    <t>1.5 업체회원조회(의업/장업/판업/관)</t>
  </si>
  <si>
    <t>1.6 전체회원검색(관)</t>
  </si>
  <si>
    <t>1.5 전체회원검색(관)</t>
  </si>
  <si>
    <t>1.7 업체직원등록(의업/장업/판업/관)</t>
  </si>
  <si>
    <t>2. 마이페이지 관리</t>
  </si>
  <si>
    <t>2.1 사용자 프로필 설정
(사용자, 반려동물)</t>
  </si>
  <si>
    <t>2.2 장바구니 확인</t>
  </si>
  <si>
    <t>2.3 결제 내역 확인</t>
  </si>
  <si>
    <t>2.5 결제 내역 확인</t>
  </si>
  <si>
    <t>2.4 포인트 사용 내역 확인</t>
  </si>
  <si>
    <t>2.6 포인트 사용 내역 확인</t>
  </si>
  <si>
    <t>3. 판매업체 정보 페이지 관리</t>
  </si>
  <si>
    <t>3.1 정보 페이지 등록(판업)</t>
  </si>
  <si>
    <t>3.2 정보 페이지 등록(판업)</t>
  </si>
  <si>
    <t>3.2 정보 페이지 수정(판업)</t>
  </si>
  <si>
    <t>3.3 정보 페이지 수정(판업)</t>
  </si>
  <si>
    <t>3.4 정보 페이지 수정(판업)</t>
  </si>
  <si>
    <t>3.3 정보 페이지 삭제(판업/관)</t>
  </si>
  <si>
    <t>3.4 정보 페이지 삭제(판업/관)</t>
  </si>
  <si>
    <t>3.4 정보 페이지 검색(일,판,의,장,관)</t>
  </si>
  <si>
    <t>3.5 정보 페이지 검색(일,판,의,장,관)</t>
  </si>
  <si>
    <t>3.6 정보 페이지 검색(일,판,의,장,관)</t>
  </si>
  <si>
    <t>3.7 정보 페이지 검색(일,판,의,장,관)</t>
  </si>
  <si>
    <t>3.8 정보 페이지 검색(일,판,의,장,관)</t>
  </si>
  <si>
    <t>3.9 정보 페이지 검색(일,판,의,장,관)</t>
  </si>
  <si>
    <t>3.10 정보 페이지 검색(일,판,의,장,관)</t>
  </si>
  <si>
    <t>4.상품관리</t>
  </si>
  <si>
    <t>4.1 상품등록(판)</t>
  </si>
  <si>
    <t>4.2 상품수정(판)</t>
  </si>
  <si>
    <t>4.3 상품삭제(판)</t>
  </si>
  <si>
    <t>4.4 상품검색(일,판,의,장,관)</t>
  </si>
  <si>
    <t>4.5 상품비교검색(일,판,의,장,관)</t>
  </si>
  <si>
    <t>4.6 상품관리자승인</t>
  </si>
  <si>
    <t>5.상품옵션관리</t>
  </si>
  <si>
    <t>5.1 상품옵션등록(판업)</t>
  </si>
  <si>
    <t>5.0 상품옵션등록(판)</t>
  </si>
  <si>
    <t>5.2 상품옵션수정(판업)</t>
  </si>
  <si>
    <t>5.1 상품옵션수정(판)</t>
  </si>
  <si>
    <t>5.3 상품옵션삭제(판업)</t>
  </si>
  <si>
    <t>5.2 상품옵션삭제(판)</t>
  </si>
  <si>
    <t>5.4 상품옵션검색(일,판,의,장,관)</t>
  </si>
  <si>
    <t>5.4 상품옵션검색(구,판,관)</t>
  </si>
  <si>
    <t>숫자 수정</t>
  </si>
  <si>
    <t>6.결제(주문)관리</t>
  </si>
  <si>
    <t>6.1 배송정보등록</t>
  </si>
  <si>
    <t>6.2 배송정보수정</t>
  </si>
  <si>
    <t>6.3 배송정보삭제</t>
  </si>
  <si>
    <t>6.4 결제등록</t>
  </si>
  <si>
    <t>6.5 결제취소(주문취소)</t>
  </si>
  <si>
    <t>6.6 결제(주문)검색</t>
  </si>
  <si>
    <t>7.반품및환불관리</t>
  </si>
  <si>
    <t>7.1 반품및환불요청(일)</t>
  </si>
  <si>
    <t>7.2 반품및환불승인(판,관)</t>
  </si>
  <si>
    <t>7.3 반품및환불최종확인(판,관)</t>
  </si>
  <si>
    <t>8.상품평관리</t>
  </si>
  <si>
    <t>8.1 상품평등록(일)</t>
  </si>
  <si>
    <t>8.2 상품평수정(일)</t>
  </si>
  <si>
    <t>8.3 상품평삭제(일)</t>
  </si>
  <si>
    <t>8.4 상품평검색(일,판,의,장,관)</t>
  </si>
  <si>
    <t>9. 의료업체 정보 페이지 관리</t>
  </si>
  <si>
    <t>9.1 정보 페이지 등록(의업)</t>
  </si>
  <si>
    <t>9.2 정보 페이지 수정(의)</t>
  </si>
  <si>
    <t>9.3 정보 페이지 삭제(의업/관)</t>
  </si>
  <si>
    <t>9.4 정보 페이지 검색(일,판,의,장,관)</t>
  </si>
  <si>
    <t>10. 의료업체평 관리</t>
  </si>
  <si>
    <t>10.1 업체평등록(일)</t>
  </si>
  <si>
    <t>10.2 업체평수정(일)</t>
  </si>
  <si>
    <t>10.3 업체평삭제(일)</t>
  </si>
  <si>
    <t>10.4 업체평검색(일,판,의,장,관)</t>
  </si>
  <si>
    <t>11. 의료업체 문의</t>
  </si>
  <si>
    <t>11.1 문의 발신</t>
  </si>
  <si>
    <t>11.2 문의 수신</t>
  </si>
  <si>
    <t>12. 장례업체 정보 페이지 관리</t>
  </si>
  <si>
    <t>12.1 정보 페이지 등록(장업)</t>
  </si>
  <si>
    <t>12.2 정보 페이지 수정(장)</t>
  </si>
  <si>
    <t>12.3 정보 페이지 삭제(장업/관)</t>
  </si>
  <si>
    <t>12.4 정보 페이지 검색(일,판,의,장,관)</t>
  </si>
  <si>
    <t>13. 장례 서비스 예약</t>
  </si>
  <si>
    <t>13.1 서비스 예약</t>
  </si>
  <si>
    <t>13.2 서비스 예약 승인</t>
  </si>
  <si>
    <t>14. 서비스 결제관리</t>
  </si>
  <si>
    <t>14.1 서비스 결제등록</t>
  </si>
  <si>
    <t>14.2 서비스 결제등록</t>
  </si>
  <si>
    <t>14.3 서비스 결제등록</t>
  </si>
  <si>
    <t>14.4 서비스 결제등록</t>
  </si>
  <si>
    <t>14.7 서비스 결제등록</t>
  </si>
  <si>
    <t>14.2 서비스 결제취소</t>
  </si>
  <si>
    <t>14.3 서비스 결제취소</t>
  </si>
  <si>
    <t>14.4 서비스 결제취소</t>
  </si>
  <si>
    <t>14.5 서비스 결제취소</t>
  </si>
  <si>
    <t>14.6 서비스 결제취소</t>
  </si>
  <si>
    <t>14.7 서비스 결제취소</t>
  </si>
  <si>
    <t>14.8 서비스 결제취소</t>
  </si>
  <si>
    <t>14.3 서비스 결제확인</t>
  </si>
  <si>
    <t>15. 장례업체평 관리</t>
  </si>
  <si>
    <t>15.1 업체평등록(일)</t>
  </si>
  <si>
    <t>15.2 업체평수정(일)</t>
  </si>
  <si>
    <t>15.3 업체평삭제(일)</t>
  </si>
  <si>
    <t>15.4 업체평검색(일,판,의,장,관)</t>
  </si>
  <si>
    <t>16. 장례업체 문의</t>
  </si>
  <si>
    <t>16.1 문의 발신</t>
  </si>
  <si>
    <t>16.2 문의 수신(장)</t>
  </si>
  <si>
    <t>17 게시판 (생/수/삭)</t>
  </si>
  <si>
    <t>17.1 게시판 생성</t>
  </si>
  <si>
    <t>17.2 게시판 수정</t>
  </si>
  <si>
    <t>17.3 게시판 삭제</t>
  </si>
  <si>
    <t>18 일반게시판 (생/수/삭/검)</t>
  </si>
  <si>
    <t>18.1 일반게시판 생성</t>
  </si>
  <si>
    <t>18.2 일반게시판 수정</t>
  </si>
  <si>
    <t>18.3 일반게시판 삭제</t>
  </si>
  <si>
    <t>18.4 일반게시판 검색</t>
  </si>
  <si>
    <t>19 질문 / 답변 게시판(생/수/삭/검)</t>
  </si>
  <si>
    <t>19.1 질문글 생성</t>
  </si>
  <si>
    <t>19.2 질문글 수정</t>
  </si>
  <si>
    <t>19.3 질문글 삭제</t>
  </si>
  <si>
    <t>19.4 질문글 검색</t>
  </si>
  <si>
    <t>19.5 답변 생성</t>
  </si>
  <si>
    <t>19.6 답변 수정</t>
  </si>
  <si>
    <t>19.7 답변 삭제</t>
  </si>
  <si>
    <t>20 반려동물 서비스 업체 관련 지도관리</t>
  </si>
  <si>
    <t>20.1 지도 마커 생성</t>
  </si>
  <si>
    <t>20.2 지도 마커 수정</t>
  </si>
  <si>
    <t>20.3 지도 마커 삭제</t>
  </si>
  <si>
    <t>20.4 지도 마커 검색</t>
  </si>
  <si>
    <t>21. 포인트 항목 관리</t>
  </si>
  <si>
    <t>21.1 포인트 지급 항목 생성</t>
  </si>
  <si>
    <t>21.1 포인트 지급 항목 수정</t>
  </si>
  <si>
    <t>21.1 포인트 지급 항목 삭제</t>
  </si>
  <si>
    <t>21.1 포인트 지출 항목 생성</t>
  </si>
  <si>
    <t>21.1 포인트 지출 항목 수정</t>
  </si>
  <si>
    <t>22. 포인트 관리</t>
  </si>
  <si>
    <t>22.1 포인트 획득</t>
  </si>
  <si>
    <t>22.2 포인트 사용</t>
  </si>
  <si>
    <t>22.3 포인트 사용 내역 확인</t>
  </si>
  <si>
    <t>23. 알림 항목 관리
(업체별/병원별/게시판 별)</t>
  </si>
  <si>
    <t>23.1 알림 항목 생성</t>
  </si>
  <si>
    <t>23.2 알림 항목 수정</t>
  </si>
  <si>
    <t>23.3 알림 항목 삭제</t>
  </si>
  <si>
    <t>24. 알림 관리</t>
  </si>
  <si>
    <t>24.1 알림 허용</t>
  </si>
  <si>
    <t>24.2 알림 불허용</t>
  </si>
  <si>
    <t>24.3 알림 확인</t>
  </si>
  <si>
    <t>한송이</t>
  </si>
  <si>
    <t>이성은</t>
  </si>
  <si>
    <t>박은수</t>
  </si>
  <si>
    <t>한글테이블</t>
  </si>
  <si>
    <t>회원관리</t>
  </si>
  <si>
    <t>영문테이블</t>
  </si>
  <si>
    <t>member</t>
  </si>
  <si>
    <t>아이디(PK)</t>
  </si>
  <si>
    <t>비밀번호</t>
  </si>
  <si>
    <t>이름</t>
  </si>
  <si>
    <t>권한</t>
  </si>
  <si>
    <t>성별</t>
  </si>
  <si>
    <t>생년월일</t>
  </si>
  <si>
    <t>전화번호</t>
  </si>
  <si>
    <t>이메일</t>
  </si>
  <si>
    <t>주소</t>
  </si>
  <si>
    <t>우편번호</t>
  </si>
  <si>
    <t>반려동물(fk)</t>
  </si>
  <si>
    <t>포인트</t>
  </si>
  <si>
    <t>SMS 수신여부</t>
  </si>
  <si>
    <t>EMAIL 수신여부</t>
  </si>
  <si>
    <t>id(pk)</t>
  </si>
  <si>
    <t>pw</t>
  </si>
  <si>
    <t>name</t>
  </si>
  <si>
    <t>level</t>
  </si>
  <si>
    <t>grade</t>
  </si>
  <si>
    <t>gender</t>
  </si>
  <si>
    <t>birth</t>
  </si>
  <si>
    <t>phone</t>
  </si>
  <si>
    <t>email</t>
  </si>
  <si>
    <t>addr</t>
  </si>
  <si>
    <t>post_num</t>
  </si>
  <si>
    <t>pet</t>
  </si>
  <si>
    <t>point</t>
  </si>
  <si>
    <t>sms_check</t>
  </si>
  <si>
    <t>email_check</t>
  </si>
  <si>
    <t>NULL</t>
  </si>
  <si>
    <t>1@1.com</t>
  </si>
  <si>
    <t>51-54</t>
  </si>
  <si>
    <t>y</t>
  </si>
  <si>
    <t>1@2.com</t>
  </si>
  <si>
    <t>51-55</t>
  </si>
  <si>
    <t>n</t>
  </si>
  <si>
    <t>Vvip</t>
  </si>
  <si>
    <t>남</t>
  </si>
  <si>
    <t>1@3.com</t>
  </si>
  <si>
    <t>51-56</t>
  </si>
  <si>
    <t>1@4.com</t>
  </si>
  <si>
    <t>51-57</t>
  </si>
  <si>
    <t>의료직원</t>
  </si>
  <si>
    <t>Vip</t>
  </si>
  <si>
    <t>1@5.com</t>
  </si>
  <si>
    <t>51-58</t>
  </si>
  <si>
    <t>51-59</t>
  </si>
  <si>
    <t>홍07</t>
  </si>
  <si>
    <t>장례직원</t>
  </si>
  <si>
    <t>Gold</t>
  </si>
  <si>
    <t>1@7.com</t>
  </si>
  <si>
    <t>금암07</t>
  </si>
  <si>
    <t>51-60</t>
  </si>
  <si>
    <t>홍08</t>
  </si>
  <si>
    <t>일반회원</t>
  </si>
  <si>
    <t>Silver</t>
  </si>
  <si>
    <t>여</t>
  </si>
  <si>
    <t>1@8.com</t>
  </si>
  <si>
    <t>금암08</t>
  </si>
  <si>
    <t>51-61</t>
  </si>
  <si>
    <t>홍09</t>
  </si>
  <si>
    <t>New</t>
  </si>
  <si>
    <t>mg_grade</t>
  </si>
  <si>
    <t>회원 등급</t>
  </si>
  <si>
    <t>구매 누적 건수</t>
  </si>
  <si>
    <t>구매 누적 금액</t>
  </si>
  <si>
    <t>답글 작성 누적 건수</t>
  </si>
  <si>
    <t>답글 추천 누적 건수</t>
  </si>
  <si>
    <t>포인트 적립율</t>
  </si>
  <si>
    <t>mg_pcount</t>
  </si>
  <si>
    <t>mg_pamount</t>
  </si>
  <si>
    <t>mg_rpcount</t>
  </si>
  <si>
    <t>mg_rccount</t>
  </si>
  <si>
    <t>mg_prate</t>
  </si>
  <si>
    <t>mp_point</t>
  </si>
  <si>
    <t>거래종류</t>
  </si>
  <si>
    <t>거래포인트</t>
  </si>
  <si>
    <t>mp_trans</t>
  </si>
  <si>
    <t>포인트 지급</t>
  </si>
  <si>
    <t>Siver</t>
  </si>
  <si>
    <t>포인트 사용</t>
  </si>
  <si>
    <t>포인트 소멸</t>
  </si>
  <si>
    <t>company</t>
  </si>
  <si>
    <t>사무용 전화번호</t>
  </si>
  <si>
    <t>업체 페이지 링크</t>
  </si>
  <si>
    <t>com_page</t>
  </si>
  <si>
    <t>staff</t>
  </si>
  <si>
    <t>직원코드(PK)</t>
  </si>
  <si>
    <t>직원가입 승인 처리상태</t>
  </si>
  <si>
    <t>stfcode</t>
  </si>
  <si>
    <t>stf_phone</t>
  </si>
  <si>
    <t>stf_check</t>
  </si>
  <si>
    <t>like</t>
  </si>
  <si>
    <t>반려동물관리</t>
  </si>
  <si>
    <t>반려동물코드(PK)</t>
  </si>
  <si>
    <t>분류(강)</t>
  </si>
  <si>
    <t>종</t>
  </si>
  <si>
    <t>품종</t>
  </si>
  <si>
    <t>무게</t>
  </si>
  <si>
    <t>중성화여부</t>
  </si>
  <si>
    <t>수술전적</t>
  </si>
  <si>
    <t>복용중인약</t>
  </si>
  <si>
    <t>특이사항</t>
  </si>
  <si>
    <t>이미지(url)</t>
  </si>
  <si>
    <t>p_name</t>
  </si>
  <si>
    <t>p_gender</t>
  </si>
  <si>
    <t>p_birth</t>
  </si>
  <si>
    <t>p_class</t>
  </si>
  <si>
    <t>p_species</t>
  </si>
  <si>
    <t>p_breed</t>
  </si>
  <si>
    <t>p_weight</t>
  </si>
  <si>
    <t>p_neuter</t>
  </si>
  <si>
    <t>p_operation</t>
  </si>
  <si>
    <t>p_medicine</t>
  </si>
  <si>
    <t>p_note</t>
  </si>
  <si>
    <t>p_url</t>
  </si>
  <si>
    <t>이브이</t>
  </si>
  <si>
    <t>포유류</t>
  </si>
  <si>
    <t>개과</t>
  </si>
  <si>
    <t>골드 리트리버</t>
  </si>
  <si>
    <t>10kg</t>
  </si>
  <si>
    <t>null</t>
  </si>
  <si>
    <t>주사를 무서워해요</t>
  </si>
  <si>
    <t>dog.jpg</t>
  </si>
  <si>
    <t>냐옹이</t>
  </si>
  <si>
    <t>고양이과</t>
  </si>
  <si>
    <t>터키쉬 앙고라</t>
  </si>
  <si>
    <t>4kg</t>
  </si>
  <si>
    <t>알약을 잘 못먹어요</t>
  </si>
  <si>
    <t>cat.jpg</t>
  </si>
  <si>
    <t>피죤투</t>
  </si>
  <si>
    <t>조류</t>
  </si>
  <si>
    <t>되새과</t>
  </si>
  <si>
    <t>카나리아</t>
  </si>
  <si>
    <t>15g</t>
  </si>
  <si>
    <t>bird.jpg</t>
  </si>
  <si>
    <t>꼬북이</t>
  </si>
  <si>
    <t>파충류</t>
  </si>
  <si>
    <t>거북이과</t>
  </si>
  <si>
    <t>이스턴 머드 터틀</t>
  </si>
  <si>
    <t>10g</t>
  </si>
  <si>
    <t>tuttle.jpg</t>
  </si>
  <si>
    <t>이상해씨</t>
  </si>
  <si>
    <t>양서류</t>
  </si>
  <si>
    <t>유리개구리과</t>
  </si>
  <si>
    <t>유리개구리</t>
  </si>
  <si>
    <t>5g</t>
  </si>
  <si>
    <t>frog.jpg</t>
  </si>
  <si>
    <t>잉어킹</t>
  </si>
  <si>
    <t>어류</t>
  </si>
  <si>
    <t>잉어과</t>
  </si>
  <si>
    <t>잉어</t>
  </si>
  <si>
    <t>100g</t>
  </si>
  <si>
    <t>fish.jpg</t>
  </si>
  <si>
    <t>병원 전문의</t>
  </si>
  <si>
    <t>입원 가능 유무</t>
  </si>
  <si>
    <t>서울 대림구</t>
  </si>
  <si>
    <t>2명</t>
  </si>
  <si>
    <t>hos123@naver.com</t>
  </si>
  <si>
    <t>서울 연신내</t>
  </si>
  <si>
    <t>hos12334@naver.com</t>
  </si>
  <si>
    <t>서울 봉천동</t>
  </si>
  <si>
    <t>1명</t>
  </si>
  <si>
    <t>hos112121223@naver.com</t>
  </si>
  <si>
    <t>문의</t>
  </si>
  <si>
    <t>Questions</t>
  </si>
  <si>
    <t>문의글 종류</t>
  </si>
  <si>
    <t>문의글 날짜</t>
  </si>
  <si>
    <t>문의글 조회수</t>
  </si>
  <si>
    <t>문의글 수정일</t>
  </si>
  <si>
    <t>ques_num</t>
  </si>
  <si>
    <t>ques_kind</t>
  </si>
  <si>
    <t>ques_date</t>
  </si>
  <si>
    <t>ques_view</t>
  </si>
  <si>
    <t>ques_redate</t>
  </si>
  <si>
    <t>알림</t>
  </si>
  <si>
    <t>알람 발신일</t>
  </si>
  <si>
    <t>알림 종류</t>
  </si>
  <si>
    <t>알림 내용 분류</t>
  </si>
  <si>
    <t>알림 내용</t>
  </si>
  <si>
    <t>id120</t>
  </si>
  <si>
    <t>수시 알림</t>
  </si>
  <si>
    <t>병원 정보 업데이트</t>
  </si>
  <si>
    <t>동물 병원 오픈</t>
  </si>
  <si>
    <t>id930</t>
  </si>
  <si>
    <t>결제 상품 정보 알림</t>
  </si>
  <si>
    <t>구매하신 제품이 곧 완료 되실 거 같아서 홍보하러 왔습니다</t>
  </si>
  <si>
    <t>id180</t>
  </si>
  <si>
    <t>정기 알림</t>
  </si>
  <si>
    <t>제품 업데이트</t>
  </si>
  <si>
    <t>고양이 사료 '츄르츄르'가 새롭게 등록되었습니다.</t>
  </si>
  <si>
    <t>board</t>
  </si>
  <si>
    <t>게시판 이름</t>
  </si>
  <si>
    <t>게시판 카테고리 수</t>
  </si>
  <si>
    <t>b_name</t>
  </si>
  <si>
    <t>b_kind_num</t>
  </si>
  <si>
    <t>b1</t>
  </si>
  <si>
    <t>공지</t>
  </si>
  <si>
    <t>b2</t>
  </si>
  <si>
    <t>질문</t>
  </si>
  <si>
    <t>b3</t>
  </si>
  <si>
    <t>자유</t>
  </si>
  <si>
    <t>b4</t>
  </si>
  <si>
    <t>동물커뮤니티</t>
  </si>
  <si>
    <t xml:space="preserve">                  </t>
  </si>
  <si>
    <t>카테고리 이름</t>
  </si>
  <si>
    <t>카테고리 종류</t>
  </si>
  <si>
    <t>공지사항</t>
  </si>
  <si>
    <t>공지 게시글</t>
  </si>
  <si>
    <t>질문게시판</t>
  </si>
  <si>
    <t>답변 게시글</t>
  </si>
  <si>
    <t>강아지커뮤니티</t>
  </si>
  <si>
    <t>notice_board</t>
  </si>
  <si>
    <t>제목</t>
  </si>
  <si>
    <t>내용</t>
  </si>
  <si>
    <t>등록일자</t>
  </si>
  <si>
    <t>수정일자</t>
  </si>
  <si>
    <t>삭제일자</t>
  </si>
  <si>
    <t>이미지(파일)</t>
  </si>
  <si>
    <t>조회수</t>
  </si>
  <si>
    <t>공지사항1</t>
  </si>
  <si>
    <t>문의 관련</t>
  </si>
  <si>
    <t>img1</t>
  </si>
  <si>
    <t>공지사항2</t>
  </si>
  <si>
    <t xml:space="preserve">결제 관련 </t>
  </si>
  <si>
    <t>img2</t>
  </si>
  <si>
    <t>공지사항3</t>
  </si>
  <si>
    <t>예약 관련</t>
  </si>
  <si>
    <t>img3</t>
  </si>
  <si>
    <t xml:space="preserve">이미지 </t>
  </si>
  <si>
    <t>병원 관련 - 답변</t>
  </si>
  <si>
    <t>답변 내용1</t>
  </si>
  <si>
    <t>장례식장 관련 - 답변</t>
  </si>
  <si>
    <t>답변 내용2</t>
  </si>
  <si>
    <t>강아지가 아파요!- 답변</t>
  </si>
  <si>
    <t>답변 내용3</t>
  </si>
  <si>
    <t>goods</t>
  </si>
  <si>
    <t>상품번호(PK)</t>
  </si>
  <si>
    <t>상세내용</t>
  </si>
  <si>
    <t>g_price</t>
  </si>
  <si>
    <t>seller_id(fk)</t>
  </si>
  <si>
    <t>g_date</t>
  </si>
  <si>
    <t>g_stock</t>
  </si>
  <si>
    <t>이 사탕은 먼 나라 일본에서부터…</t>
  </si>
  <si>
    <t>판매중</t>
  </si>
  <si>
    <t>후기수</t>
  </si>
  <si>
    <t>결제번호(PK)</t>
  </si>
  <si>
    <t>카카오페이</t>
  </si>
  <si>
    <t>결제완료</t>
  </si>
  <si>
    <t>신용카드</t>
  </si>
  <si>
    <t>페이코</t>
  </si>
  <si>
    <t>환불</t>
  </si>
  <si>
    <t>취소 요청 (추가)</t>
  </si>
  <si>
    <t>장례예약</t>
  </si>
  <si>
    <t>예약일시</t>
  </si>
  <si>
    <t>종료일시</t>
  </si>
  <si>
    <t>주문자 연락처</t>
  </si>
  <si>
    <t>f_service</t>
  </si>
  <si>
    <t>비고</t>
  </si>
  <si>
    <t>팀원 or 조원 or 개인 : 홍길동,김길동,이길동,최길동
no / 작성자 / 제목 / version / 작성일 / 작성시각 / 버전 근거 내용
04_작성자_데이터사전_v02_년월일_시각 / 00팀_회의록_년월일_시각
04_작성자_데이터사전_v01_년월일_시각 / 00팀_회의록_년월일_시각</t>
  </si>
  <si>
    <t xml:space="preserve">     ■  자료사전의 사용기호</t>
  </si>
  <si>
    <t>기호</t>
  </si>
  <si>
    <t>의미</t>
  </si>
  <si>
    <t>예시</t>
  </si>
  <si>
    <t>설명</t>
  </si>
  <si>
    <t>=</t>
  </si>
  <si>
    <t>정의</t>
  </si>
  <si>
    <r>
      <rPr>
        <b/>
        <sz val="11"/>
        <color rgb="FF000000"/>
        <rFont val="맑은 고딕"/>
        <family val="3"/>
        <charset val="129"/>
      </rPr>
      <t xml:space="preserve">환자번호 </t>
    </r>
    <r>
      <rPr>
        <b/>
        <sz val="12"/>
        <color rgb="FFFF0000"/>
        <rFont val="맑은 고딕"/>
        <family val="3"/>
        <charset val="129"/>
      </rPr>
      <t>=</t>
    </r>
    <r>
      <rPr>
        <b/>
        <sz val="11"/>
        <color rgb="FF000000"/>
        <rFont val="맑은 고딕"/>
        <family val="3"/>
        <charset val="129"/>
      </rPr>
      <t xml:space="preserve"> * 병원에서 환자의 관리를 위해 부여한 환자 고유 번호*</t>
    </r>
  </si>
  <si>
    <t>+</t>
  </si>
  <si>
    <t>구성</t>
  </si>
  <si>
    <r>
      <rPr>
        <b/>
        <sz val="11"/>
        <color rgb="FF000000"/>
        <rFont val="맑은 고딕"/>
        <family val="3"/>
        <charset val="129"/>
      </rPr>
      <t xml:space="preserve">환자퇴원자료 = 환자번호 </t>
    </r>
    <r>
      <rPr>
        <b/>
        <sz val="12"/>
        <color rgb="FFFF0000"/>
        <rFont val="맑은 고딕"/>
        <family val="3"/>
        <charset val="129"/>
      </rPr>
      <t>+</t>
    </r>
    <r>
      <rPr>
        <b/>
        <sz val="11"/>
        <color rgb="FF000000"/>
        <rFont val="맑은 고딕"/>
        <family val="3"/>
        <charset val="129"/>
      </rPr>
      <t xml:space="preserve"> 퇴원요인</t>
    </r>
  </si>
  <si>
    <t>{}</t>
  </si>
  <si>
    <t>반복</t>
  </si>
  <si>
    <r>
      <rPr>
        <b/>
        <sz val="11"/>
        <color rgb="FF000000"/>
        <rFont val="맑은 고딕"/>
        <family val="3"/>
        <charset val="129"/>
      </rPr>
      <t xml:space="preserve">검사철 = </t>
    </r>
    <r>
      <rPr>
        <b/>
        <sz val="11"/>
        <color rgb="FFFF0000"/>
        <rFont val="맑은 고딕"/>
        <family val="3"/>
        <charset val="129"/>
      </rPr>
      <t>{</t>
    </r>
    <r>
      <rPr>
        <b/>
        <sz val="11"/>
        <color rgb="FF000000"/>
        <rFont val="맑은 고딕"/>
        <family val="3"/>
        <charset val="129"/>
      </rPr>
      <t xml:space="preserve">환자번호 + </t>
    </r>
    <r>
      <rPr>
        <b/>
        <sz val="11"/>
        <color rgb="FF7030A0"/>
        <rFont val="맑은 고딕"/>
        <family val="3"/>
        <charset val="129"/>
      </rPr>
      <t>1</t>
    </r>
    <r>
      <rPr>
        <b/>
        <sz val="11"/>
        <color rgb="FFFF0000"/>
        <rFont val="맑은 고딕"/>
        <family val="3"/>
        <charset val="129"/>
      </rPr>
      <t>{</t>
    </r>
    <r>
      <rPr>
        <b/>
        <sz val="11"/>
        <color rgb="FF000000"/>
        <rFont val="맑은 고딕"/>
        <family val="3"/>
        <charset val="129"/>
      </rPr>
      <t>검사+ 검사일</t>
    </r>
    <r>
      <rPr>
        <b/>
        <sz val="11"/>
        <color rgb="FFFF0000"/>
        <rFont val="맑은 고딕"/>
        <family val="3"/>
        <charset val="129"/>
      </rPr>
      <t>}</t>
    </r>
    <r>
      <rPr>
        <b/>
        <sz val="11"/>
        <color rgb="FF7030A0"/>
        <rFont val="맑은 고딕"/>
        <family val="3"/>
        <charset val="129"/>
      </rPr>
      <t>3</t>
    </r>
    <r>
      <rPr>
        <b/>
        <sz val="11"/>
        <color rgb="FF000000"/>
        <rFont val="맑은 고딕"/>
        <family val="3"/>
        <charset val="129"/>
      </rPr>
      <t xml:space="preserve">}     </t>
    </r>
    <r>
      <rPr>
        <b/>
        <sz val="12"/>
        <color rgb="FFE46C0A"/>
        <rFont val="맑은 고딕"/>
        <family val="3"/>
        <charset val="129"/>
      </rPr>
      <t xml:space="preserve"> </t>
    </r>
  </si>
  <si>
    <t>설명 : {} 좌측 숫자 최소반복횟수, {} 우측 숫자 최대반복횟수</t>
  </si>
  <si>
    <t>[]</t>
  </si>
  <si>
    <t>택일, 선택</t>
  </si>
  <si>
    <r>
      <rPr>
        <b/>
        <sz val="11"/>
        <color rgb="FF000000"/>
        <rFont val="맑은 고딕"/>
        <family val="3"/>
        <charset val="129"/>
      </rPr>
      <t xml:space="preserve">검사결과 = </t>
    </r>
    <r>
      <rPr>
        <b/>
        <sz val="11"/>
        <color rgb="FFFF0000"/>
        <rFont val="맑은 고딕"/>
        <family val="3"/>
        <charset val="129"/>
      </rPr>
      <t>[</t>
    </r>
    <r>
      <rPr>
        <b/>
        <sz val="11"/>
        <color rgb="FF000000"/>
        <rFont val="맑은 고딕"/>
        <family val="3"/>
        <charset val="129"/>
      </rPr>
      <t>독성검사자료 | 감염검사자료 | 약물중독검사자료</t>
    </r>
    <r>
      <rPr>
        <b/>
        <sz val="11"/>
        <color rgb="FFFF0000"/>
        <rFont val="맑은 고딕"/>
        <family val="3"/>
        <charset val="129"/>
      </rPr>
      <t>]</t>
    </r>
    <r>
      <rPr>
        <b/>
        <sz val="11"/>
        <color rgb="FF000000"/>
        <rFont val="맑은 고딕"/>
        <family val="3"/>
        <charset val="129"/>
      </rPr>
      <t xml:space="preserve">    </t>
    </r>
  </si>
  <si>
    <t>설명: [자료|자료|자료] 자료 중 하나 택일</t>
  </si>
  <si>
    <t>()</t>
  </si>
  <si>
    <t>생략가능</t>
  </si>
  <si>
    <r>
      <rPr>
        <b/>
        <sz val="11"/>
        <color rgb="FF000000"/>
        <rFont val="맑은 고딕"/>
        <family val="3"/>
        <charset val="129"/>
      </rPr>
      <t xml:space="preserve">초기환자자료 =  환자번호 + </t>
    </r>
    <r>
      <rPr>
        <b/>
        <sz val="11"/>
        <color rgb="FFFF0000"/>
        <rFont val="맑은 고딕"/>
        <family val="3"/>
        <charset val="129"/>
      </rPr>
      <t>(</t>
    </r>
    <r>
      <rPr>
        <b/>
        <sz val="11"/>
        <color rgb="FF000000"/>
        <rFont val="맑은 고딕"/>
        <family val="3"/>
        <charset val="129"/>
      </rPr>
      <t>감염정도</t>
    </r>
    <r>
      <rPr>
        <b/>
        <sz val="11"/>
        <color rgb="FFFF0000"/>
        <rFont val="맑은 고딕"/>
        <family val="3"/>
        <charset val="129"/>
      </rPr>
      <t>)</t>
    </r>
  </si>
  <si>
    <t>**</t>
  </si>
  <si>
    <t>주석</t>
  </si>
  <si>
    <r>
      <rPr>
        <b/>
        <sz val="11"/>
        <color rgb="FF000000"/>
        <rFont val="맑은 고딕"/>
        <family val="3"/>
        <charset val="129"/>
      </rPr>
      <t xml:space="preserve">환자번호 = </t>
    </r>
    <r>
      <rPr>
        <b/>
        <sz val="11"/>
        <color rgb="FFFF0000"/>
        <rFont val="맑은 고딕"/>
        <family val="3"/>
        <charset val="129"/>
      </rPr>
      <t>*</t>
    </r>
    <r>
      <rPr>
        <b/>
        <sz val="11"/>
        <color rgb="FF000000"/>
        <rFont val="맑은 고딕"/>
        <family val="3"/>
        <charset val="129"/>
      </rPr>
      <t xml:space="preserve"> 병원에서 환자의 관리를 위해 부여한 환자 고유 번호 </t>
    </r>
    <r>
      <rPr>
        <b/>
        <sz val="11"/>
        <color rgb="FFFF0000"/>
        <rFont val="맑은 고딕"/>
        <family val="3"/>
        <charset val="129"/>
      </rPr>
      <t>*</t>
    </r>
  </si>
  <si>
    <t>DD(data dictionary : 데이터 사전)</t>
  </si>
  <si>
    <t>시스템명</t>
  </si>
  <si>
    <t>요구사항code</t>
  </si>
  <si>
    <t>요구사항명</t>
  </si>
  <si>
    <t>접근권한</t>
  </si>
  <si>
    <t>input Data</t>
  </si>
  <si>
    <t>output Data</t>
  </si>
  <si>
    <t>1. 회원관리</t>
  </si>
  <si>
    <t>1,2,3</t>
  </si>
  <si>
    <t>아이디+비밀번호+이름+성별+이메일+주소 등(20가지)</t>
  </si>
  <si>
    <t>1.1 회원등록(구,판,관)</t>
  </si>
  <si>
    <t xml:space="preserve">검색조건 : 이름+성별+연령+가입기간별+지역 
</t>
  </si>
  <si>
    <t>아이디+비밀번호+이름+성별+이메일+주소</t>
  </si>
  <si>
    <t>기본정보 =</t>
  </si>
  <si>
    <t>학력정보 =</t>
  </si>
  <si>
    <t>자격증 =</t>
  </si>
  <si>
    <t>경력사항 =</t>
  </si>
  <si>
    <t>어학 =</t>
  </si>
  <si>
    <t>가족 =</t>
  </si>
  <si>
    <t>자기소개서 =</t>
  </si>
  <si>
    <t>2.로그인관리</t>
  </si>
  <si>
    <t>3.상품관리</t>
  </si>
  <si>
    <t>3.1 상품등록(판)</t>
  </si>
  <si>
    <t>3.2 상품수정(판)</t>
  </si>
  <si>
    <t>3.3 상품삭제(판)</t>
  </si>
  <si>
    <t>3.4 상품검색(구,판,관)</t>
  </si>
  <si>
    <t>3.5 상품비교검색(구,판,관)</t>
  </si>
  <si>
    <t>3.6 상품관리자승인</t>
  </si>
  <si>
    <t>4.상품옵션관리</t>
  </si>
  <si>
    <t>4.1 상품옵션등록(판)</t>
  </si>
  <si>
    <t>4.2 상품옵션수정(판)</t>
  </si>
  <si>
    <t>4.3 상품옵션삭제(판)</t>
  </si>
  <si>
    <t>4.4 상품옵션검색(구,판,관)</t>
  </si>
  <si>
    <t>5.결제(주문)관리</t>
  </si>
  <si>
    <t>5.1 배송정보등록</t>
  </si>
  <si>
    <t>5.2 배송정보수정</t>
  </si>
  <si>
    <t>5.3 배송정보삭제</t>
  </si>
  <si>
    <t>5.4 결제등록</t>
  </si>
  <si>
    <t>5.5 결제취소(주문취소)</t>
  </si>
  <si>
    <t>5.6 결제(주문)검색</t>
  </si>
  <si>
    <t>6.반품및환불관리</t>
  </si>
  <si>
    <t>6.1 반품및환불요청(구)</t>
  </si>
  <si>
    <t>6.2 반품및환불승인(판,관)</t>
  </si>
  <si>
    <t>6.3 반품및환불최종확인(판,관)</t>
  </si>
  <si>
    <t>7.상품평관리</t>
  </si>
  <si>
    <t>7.1 상품평등록(구)</t>
  </si>
  <si>
    <t>7.2 상품평수정(구)</t>
  </si>
  <si>
    <t>7.3 상품평삭제(구)</t>
  </si>
  <si>
    <t>7.4 상품평검색(구,판,관)</t>
  </si>
  <si>
    <t>팀원 or 조원 or 개인 : 홍길동,김길동,이길동,최길동
no / 작성자 / 제목 / version / 작성일 / 작성시각 / 버전 근거 내용
06_작성자_DB객체정의_v02_년월일_시각 / 00팀_회의록_년월일_시각
06_작성자_DB객체정의_v01_년월일_시각 / 00팀_회의록_년월일_시각
**N/A : 해당사항없음</t>
  </si>
  <si>
    <t>DB(Data Base) 객체 목록</t>
  </si>
  <si>
    <t>순번</t>
  </si>
  <si>
    <t>물리명</t>
  </si>
  <si>
    <t>논리명</t>
  </si>
  <si>
    <t>객체종류</t>
  </si>
  <si>
    <t>관련 테이블 목록</t>
  </si>
  <si>
    <t>사용여부 
(Y/N)</t>
  </si>
  <si>
    <t>테이블 정의서 (바로가기)</t>
  </si>
  <si>
    <t>컬럼변경 
여부</t>
  </si>
  <si>
    <t>변경일자</t>
  </si>
  <si>
    <t>회원 테이블</t>
  </si>
  <si>
    <t>table</t>
  </si>
  <si>
    <t>member_level(회원등급)</t>
  </si>
  <si>
    <t>Y</t>
  </si>
  <si>
    <t>N</t>
  </si>
  <si>
    <t>상품 테이블</t>
  </si>
  <si>
    <t>v_member_schedule</t>
  </si>
  <si>
    <t>회원 스케줄 조회 뷰테이블</t>
  </si>
  <si>
    <t>view</t>
  </si>
  <si>
    <t>sp_member_delete</t>
  </si>
  <si>
    <t>회원 일괄 삭제 프로시저</t>
  </si>
  <si>
    <t>procedure</t>
  </si>
  <si>
    <t>N/A</t>
  </si>
  <si>
    <t>프로세스 변경: 
회원백업 테이블로 이관</t>
  </si>
  <si>
    <t>sf_age</t>
  </si>
  <si>
    <t>회원 만나이 계산 사용자 정의 함수</t>
  </si>
  <si>
    <t>function</t>
  </si>
  <si>
    <t>팀원 or 조원 or 개인 : 홍길동,김길동,이길동,최길동
no / 작성자 / 제목 / version / 작성일 / 작성시각 / 버전 근거 내용
07_작성자_테이블정의서_v02_년월일_시각 / 00팀_회의록_년월일_시각
07_작성자_테이블정의서_v01_년월일_시각 / 00팀_회의록_년월일_시각
** N/A : 해당사항없음</t>
  </si>
  <si>
    <t>테이블 정의서</t>
  </si>
  <si>
    <t>물리 테이블명</t>
  </si>
  <si>
    <t>논리테이블명</t>
  </si>
  <si>
    <t>승인자</t>
  </si>
  <si>
    <t>홍관리</t>
  </si>
  <si>
    <t>홍설계</t>
  </si>
  <si>
    <t>버전</t>
  </si>
  <si>
    <t>단계</t>
  </si>
  <si>
    <t>설계</t>
  </si>
  <si>
    <t>업무명</t>
  </si>
  <si>
    <t>스마트 쇼핑몰 지원시스템</t>
  </si>
  <si>
    <t>페이지수</t>
  </si>
  <si>
    <t>컬럼명</t>
  </si>
  <si>
    <t>컬럼ID</t>
  </si>
  <si>
    <t>타입</t>
  </si>
  <si>
    <t>길이</t>
  </si>
  <si>
    <t>PK여부</t>
  </si>
  <si>
    <t>FK여부</t>
  </si>
  <si>
    <t>NULL여부</t>
  </si>
  <si>
    <t>기본값</t>
  </si>
  <si>
    <t>참조테이블</t>
  </si>
  <si>
    <t>참조 컬럼 ID</t>
  </si>
  <si>
    <t>회원아이디</t>
  </si>
  <si>
    <t>member_id</t>
  </si>
  <si>
    <t>VARCHAR</t>
  </si>
  <si>
    <t>NOT NULL</t>
  </si>
  <si>
    <t>회원비밀번호</t>
  </si>
  <si>
    <t>member_pw</t>
  </si>
  <si>
    <t>회원이름</t>
  </si>
  <si>
    <t>member_name</t>
  </si>
  <si>
    <t>회원생년월일</t>
  </si>
  <si>
    <t>member_birth</t>
  </si>
  <si>
    <t>DATE</t>
  </si>
  <si>
    <t>회원등급</t>
  </si>
  <si>
    <t>member_level</t>
  </si>
  <si>
    <t>회원성별</t>
  </si>
  <si>
    <t>member_gender</t>
  </si>
  <si>
    <t>CHAR</t>
  </si>
  <si>
    <t>회원주소</t>
  </si>
  <si>
    <t>member_address</t>
  </si>
  <si>
    <t>팀원 or 조원 or 개인 : 홍길동,김길동,이길동,최길동
no / 작성자 / 제목 / version / 작성일 / 작성시각 / 버전 근거 내용
08_작성자_ERD_v02_년월일_시각 / 00팀_회의록_년월일_시각
08_작성자_ERD_v01_년월일_시각 / 00팀_회의록_년월일_시각</t>
  </si>
  <si>
    <t>ERD</t>
  </si>
  <si>
    <t>프로젝트 전체 ERD</t>
  </si>
  <si>
    <t>서비스 별 ERD</t>
  </si>
  <si>
    <t>팀원 or 조원 or 개인 : 홍길동,김길동,이길동,최길동
no / 작성자 / 제목 / version / 작성일 / 작성시각 / 버전 근거 내용
09_작성자_query문장테스트_v02_년월일_시각 / 00팀_회의록_년월일_시각
09_작성자_query문장테스트_v01_년월일_시각 / 00팀_회의록_년월일_시각</t>
  </si>
  <si>
    <t>■ 1단계  설계 단계에서는 어려울 것으로 예상되는 join 관련 select 쿼리 문장 위주로 작성 한다.
■ 2단계 :구현 단계에서는 query 테스트 후 팀원 공유를 위해서 활용 한다. (mybatis mapper 작성전에 쿼리문장 실행 결과 정리 용도)</t>
  </si>
  <si>
    <t>DB백업(테이블생성및insert)</t>
  </si>
  <si>
    <t>Query 테스트</t>
  </si>
  <si>
    <t>대분류기능</t>
  </si>
  <si>
    <t>상세기능</t>
  </si>
  <si>
    <t>DB에서실행되는Query문장</t>
  </si>
  <si>
    <t>Query실행결과</t>
  </si>
  <si>
    <t>회원등록</t>
  </si>
  <si>
    <t>insert into 테이블명 values('','','');</t>
  </si>
  <si>
    <t>팀원 or 조원 or 개인 : 홍길동,김길동,이길동,최길동
no / 작성자 / 제목 / version / 작성일 / 작성시각 / 버전 근거 내용
10_작성자_네이밍규칙_v02_년월일_시각 / 00팀_회의록_년월일_시각
10_작성자_네이밍규칙_v01_년월일_시각 / 00팀_회의록_년월일_시각</t>
  </si>
  <si>
    <t>네이밍 규칙</t>
  </si>
  <si>
    <t>■ 패키지 구조</t>
  </si>
  <si>
    <t>▶ Level 0 : 배포할 도메인 명을 뒤에서 부터 명칭 ( ex: 도메인명 ksmart.or.kr  -&gt; kr.or.ksmart)</t>
  </si>
  <si>
    <t>▶ Level 1 : 업무 시스템 구분 ex:) 학사관리시스템(admin), 학생시스템(student)</t>
  </si>
  <si>
    <t>▶ Level 2 : Web Application 구성 요소로 구분 (ex: controller, service, mapper, domain, config, interceptor)</t>
  </si>
  <si>
    <t>▶ Level 3 : 실구현체 이름 + 접미사: 상위 패키지 네이밍 (파스칼 표기법) (ex: MemberController, CourseService, OperationMapper )</t>
  </si>
  <si>
    <t>Level 0</t>
  </si>
  <si>
    <t>Level 1</t>
  </si>
  <si>
    <t>Level 2</t>
  </si>
  <si>
    <t>Level 3</t>
  </si>
  <si>
    <t>kr.or.ksmart</t>
  </si>
  <si>
    <t>admin</t>
  </si>
  <si>
    <t>controller</t>
  </si>
  <si>
    <t>MemberController.java</t>
  </si>
  <si>
    <t>service</t>
  </si>
  <si>
    <t>MemberService.java</t>
  </si>
  <si>
    <t>dao</t>
  </si>
  <si>
    <t>MemberMapper.java</t>
  </si>
  <si>
    <t>domain</t>
  </si>
  <si>
    <t>Member.java</t>
  </si>
  <si>
    <t>config</t>
  </si>
  <si>
    <t>WebConfig.java</t>
  </si>
  <si>
    <t>■ 명명규칙</t>
  </si>
  <si>
    <t>▶ 공통</t>
  </si>
  <si>
    <t>모든 이름은 a-z, A-Z, 0-9의 글자로 조합한다.</t>
  </si>
  <si>
    <t>프로그램 내에서 사용하는 모든 이름은 64자를 넘지 않는 것으로 한다.</t>
  </si>
  <si>
    <t>정확한 의미 전달을 위해 약어의 사용은 피한다.</t>
  </si>
  <si>
    <t>특수기호는 사용하지 않는 것을 원칙으로 한다.</t>
  </si>
  <si>
    <t>약어 사용이 의미 전달에 도움이 되는 경우에는 표준용어사전에 포함되어있는 약속된 약어를 사용할 수 있으나, 그렇지 않은 경우에는 단어의 spelling을 모두 적는 것으로 한다</t>
  </si>
  <si>
    <t>▶ 파일명</t>
  </si>
  <si>
    <t>Java</t>
  </si>
  <si>
    <t>대소문자를 사용하며 단어의 시작부분은 대문자로 표기한다. (파스칼 표기법)</t>
  </si>
  <si>
    <t>단어는 표준용어사전을 따른다.</t>
  </si>
  <si>
    <t>명사 또는 동사 + 명사의 혼합된 형태로 이름을 구성한다.</t>
  </si>
  <si>
    <t>첫 번째 문자는 항상 대문자를 사용한다.</t>
  </si>
  <si>
    <t>클래스 유형에 따라 다음 표를 참고하여 구성한다.</t>
  </si>
  <si>
    <t>mapper</t>
  </si>
  <si>
    <t>Dao (java파일)의 명명 규칙을 따른다. (ex: Dao MemberMapper -&gt; mapper MemberMapper)</t>
  </si>
  <si>
    <t>파일의 확장자는 .xml로 한다.</t>
  </si>
  <si>
    <t>html</t>
  </si>
  <si>
    <t>대소문자를 사용하여 단어의 시작부분은 소문자로 표기하고 구분자는 _(언더바)를 사용한다. (스네이크 표기법)</t>
  </si>
  <si>
    <t>파일의 확장자는 .html로 한다.</t>
  </si>
  <si>
    <t>css</t>
  </si>
  <si>
    <t>파일의 확장자는 .css로 한다.</t>
  </si>
  <si>
    <t>JavaScript</t>
  </si>
  <si>
    <t>파일의 확장자는 .js로 한다.</t>
  </si>
  <si>
    <t>오픈소스 자바스크립트의 경우, 최초 배포된 이름 그대로 유지한다.</t>
  </si>
  <si>
    <t>▶ method</t>
  </si>
  <si>
    <t>동사 혹은 동사 + 명사로 작성하며, 혼합된 형태로 이름을 구성할 때에는 각 단어의 첫 글자는 대문자로 작성한다. (카멜표기법)</t>
  </si>
  <si>
    <t>상황에 따라 다음 표를 참고하여 일반적인 Prefix를 적용하며, 나머지는 필요에 따른 적절한 이름을 사용한다.</t>
  </si>
  <si>
    <t>기능유형</t>
  </si>
  <si>
    <t>대표용어</t>
  </si>
  <si>
    <t>get</t>
  </si>
  <si>
    <t>조회</t>
  </si>
  <si>
    <t>save</t>
  </si>
  <si>
    <t>저장</t>
  </si>
  <si>
    <t>add</t>
  </si>
  <si>
    <t>등록</t>
  </si>
  <si>
    <t>call</t>
  </si>
  <si>
    <t>호출</t>
  </si>
  <si>
    <t>modify</t>
  </si>
  <si>
    <t>send</t>
  </si>
  <si>
    <t>송신</t>
  </si>
  <si>
    <t>remove</t>
  </si>
  <si>
    <t>삭제</t>
  </si>
  <si>
    <t>receive</t>
  </si>
  <si>
    <t>수신</t>
  </si>
  <si>
    <t>confirm</t>
  </si>
  <si>
    <t>확인</t>
  </si>
  <si>
    <t>transfer</t>
  </si>
  <si>
    <t>송수신</t>
  </si>
  <si>
    <t>cancel</t>
  </si>
  <si>
    <t>취소</t>
  </si>
  <si>
    <t>check</t>
  </si>
  <si>
    <t>검토</t>
  </si>
  <si>
    <t>calc</t>
  </si>
  <si>
    <t>계산</t>
  </si>
  <si>
    <t>is</t>
  </si>
  <si>
    <t>유무(여부)확인</t>
  </si>
  <si>
    <t>▶ 변수명</t>
  </si>
  <si>
    <t>대소문자를 사용하여 변수명의 시작부분을 소문자로 표기한다.</t>
  </si>
  <si>
    <t>명사로 작성하며 각 단어의 첫 글자에는 대문자로 표기한다.</t>
  </si>
  <si>
    <t>변수명에는 기호나 특수문자를 사용하지 않는다.</t>
  </si>
  <si>
    <t>변수명은 의미 있는 단어를 사용하도록 한다.(표준 용어사전 참고)</t>
  </si>
  <si>
    <t>변수에 해당하는 컬럼이 테이블에 존재하는 경우에는 컬럼명을 기준으로 camel 표기법을 준수하여 사용한다</t>
  </si>
  <si>
    <t>변수명은 중복되는 이름이 나오지 않도록 하여 일련번호를 붙여 사용하는 경우가 없도록 한다.</t>
  </si>
  <si>
    <t>상수명은 공통코드를 제외한 변수명 전체를 대문자로 하고, 단어 연결에는 ‘_’를 사용한다</t>
  </si>
  <si>
    <t>java</t>
  </si>
  <si>
    <t>변수</t>
  </si>
  <si>
    <t>int orderCnt;   /  double deliveryAmt; / String userName; / StringBuffer sqlStr;</t>
  </si>
  <si>
    <t>상수</t>
  </si>
  <si>
    <t>static final int WIDTH = 4; / static final long DEFAULT_EXPIRES_TIME = TimeUnit.MINUTES.toSeconds(30);</t>
  </si>
  <si>
    <t>사용자 정의 타입</t>
  </si>
  <si>
    <t>private MemberService memberService;</t>
  </si>
  <si>
    <t>javaScript</t>
  </si>
  <si>
    <t xml:space="preserve">var orderCnt;   /  var deliveryAmt; / var userName; </t>
  </si>
  <si>
    <t>const  WIDTH = 4; / const DEFAULT_PER_PAGE = 10;</t>
  </si>
  <si>
    <t>화면목록(기능) 정의서</t>
  </si>
  <si>
    <t>팀원 or 조원 or 개인 : 홍길동,김길동,이길동,최길동
no / 작성자 / 제목 / version / 작성일 / 작성시각 / 버전 근거 내용
11_작성자_화면프로그램목록_v02_년월일_시각 / 00팀_회의록_년월일_시각
11_작성자_화면프로그램목록_v01_년월일_시각 / 00팀_회의록_년월일_시각</t>
  </si>
  <si>
    <t>요구사항 ID</t>
  </si>
  <si>
    <t>화면 ID</t>
  </si>
  <si>
    <t>화면명
(요구사항명
일치시 #표기)</t>
  </si>
  <si>
    <t>메뉴구성</t>
  </si>
  <si>
    <t>화면구성</t>
  </si>
  <si>
    <t>개발</t>
  </si>
  <si>
    <t>서브시스템명</t>
  </si>
  <si>
    <t>1 DEPTH</t>
  </si>
  <si>
    <t>2 DEPTH</t>
  </si>
  <si>
    <t>3 DEPTH</t>
  </si>
  <si>
    <t>세부구분항목</t>
  </si>
  <si>
    <t>화면 TYPE</t>
  </si>
  <si>
    <t>기능설명</t>
  </si>
  <si>
    <t>개발 CHECK</t>
  </si>
  <si>
    <t>전자결재</t>
  </si>
  <si>
    <t>ED_1.1</t>
  </si>
  <si>
    <t>기본정보</t>
  </si>
  <si>
    <t>V_ED_1.1</t>
  </si>
  <si>
    <t>공문수신신청서</t>
  </si>
  <si>
    <t>신청서</t>
  </si>
  <si>
    <t>공문수신 신청서</t>
  </si>
  <si>
    <t>TEXT</t>
  </si>
  <si>
    <t>DB연동</t>
  </si>
  <si>
    <t>부서명, 신청자명, 문서번호, 신청일자, 발신부서명, 발신자명 노출</t>
  </si>
  <si>
    <t>진행완료</t>
  </si>
  <si>
    <t>ED_1.2</t>
  </si>
  <si>
    <t>프로젝트 정보</t>
  </si>
  <si>
    <t>TEXT/SELECT</t>
  </si>
  <si>
    <t>프로젝트, 결재자 선택가능</t>
  </si>
  <si>
    <t>ED_1.3</t>
  </si>
  <si>
    <t>공문 수신 신청</t>
  </si>
  <si>
    <t>공문 수신 신청서 작성</t>
  </si>
  <si>
    <t>HTML</t>
  </si>
  <si>
    <t xml:space="preserve">발송처, 제목, 상세 내용(위지윅 에디터:summernote 사용) </t>
  </si>
  <si>
    <t>진행중</t>
  </si>
  <si>
    <t>2021-02-05 기타문서 파일첨부 기능 추가요청</t>
  </si>
  <si>
    <t>ED_1.4</t>
  </si>
  <si>
    <t>BUTTON</t>
  </si>
  <si>
    <t>공문 수신 신청서 신청 기능 ( 유효성 검사)</t>
  </si>
  <si>
    <t>ED_1.5</t>
  </si>
  <si>
    <t>V_ED_1.2</t>
  </si>
  <si>
    <t>공문발신신청서</t>
  </si>
  <si>
    <t>공문발신 신청서</t>
  </si>
  <si>
    <t>ED_1.6</t>
  </si>
  <si>
    <t>ED_1.7</t>
  </si>
  <si>
    <t>공문 발신 신청</t>
  </si>
  <si>
    <t>공문 발신 신청서 작성</t>
  </si>
  <si>
    <t xml:space="preserve">발송일자, 수신, 제목, 참조 내역 작성 및  상세 내용(위지윅 에디터:summernote 사용) </t>
  </si>
  <si>
    <t>ED_1.8</t>
  </si>
  <si>
    <t>인장선택</t>
  </si>
  <si>
    <t>등록된 인장 선택가능</t>
  </si>
  <si>
    <t>ED_1.9</t>
  </si>
  <si>
    <t>공문서 신청</t>
  </si>
  <si>
    <t>공문 발신 신청서 신청 기능 ( 유효성 검사)</t>
  </si>
  <si>
    <t>ED_1.10</t>
  </si>
  <si>
    <t>개인문서함</t>
  </si>
  <si>
    <t>V_ED_1.10</t>
  </si>
  <si>
    <t>#</t>
  </si>
  <si>
    <t>ED_1.11</t>
  </si>
  <si>
    <t>결재함</t>
  </si>
  <si>
    <t>V_ED_1.11</t>
  </si>
  <si>
    <t>ED_1.12</t>
  </si>
  <si>
    <t>반출함</t>
  </si>
  <si>
    <t>V_ED_1.12</t>
  </si>
  <si>
    <t>팀원 or 조원 or 개인 : 홍길동,김길동,이길동,최길동
no / 작성자 / 제목 / version / 작성일 / 작성시각 / 버전 근거 내용
12_작성자_화면설계서_v02_년월일_시각 / 00팀_회의록_년월일_시각
12_작성자_화면설계서_v01_년월일_시각 / 00팀_회의록_년월일_시각</t>
  </si>
  <si>
    <t>화면 설계서</t>
  </si>
  <si>
    <t>1. 화면 명</t>
  </si>
  <si>
    <t>화면 레이아웃 및 화면</t>
  </si>
  <si>
    <t>2. 화면설명</t>
  </si>
  <si>
    <t>- 지번 및 도로명 주소를 입력할 수 있는 공통하면이다.</t>
  </si>
  <si>
    <t>3. 화면 항목 설명</t>
  </si>
  <si>
    <t>항목명</t>
  </si>
  <si>
    <t>영문명</t>
  </si>
  <si>
    <t>속성</t>
  </si>
  <si>
    <t>Validation</t>
  </si>
  <si>
    <t>필수 여부</t>
  </si>
  <si>
    <t>자리수</t>
  </si>
  <si>
    <t>기타</t>
  </si>
  <si>
    <t>도로명</t>
  </si>
  <si>
    <t>address</t>
  </si>
  <si>
    <t>도로명 주소 검색시 도로명을 입력하는 변수</t>
  </si>
  <si>
    <t>E</t>
  </si>
  <si>
    <t>필수</t>
  </si>
  <si>
    <t>resut_address</t>
  </si>
  <si>
    <t>검색한 주소내역</t>
  </si>
  <si>
    <t>R</t>
  </si>
  <si>
    <t>* E :화면에서 표시되며 편집 가능한 경우 / S: 화면에서 표시된 내용 선택하는 경우 / R: 화면에서 표시되며 편집 불가능한 경우 / H: 화면에 표시되지 않는 경우 (주로 다른 화면과 데이터를 주고받을 때의 변수)</t>
  </si>
  <si>
    <t>4. 화면 이벤트 설명</t>
  </si>
  <si>
    <t>이벤트 명</t>
  </si>
  <si>
    <t>이벤트 설명</t>
  </si>
  <si>
    <t>관련데이터</t>
  </si>
  <si>
    <t>관련 object</t>
  </si>
  <si>
    <t>도로명 주소 검색 버튼</t>
  </si>
  <si>
    <t>해당 도로명 주소를 검색한다</t>
  </si>
  <si>
    <t>S</t>
  </si>
  <si>
    <t>AddressCotroller</t>
  </si>
  <si>
    <t>result</t>
  </si>
  <si>
    <t>AddressDTO</t>
  </si>
  <si>
    <t>5. 관련 파일</t>
  </si>
  <si>
    <t>파일유형</t>
  </si>
  <si>
    <t>경로명</t>
  </si>
  <si>
    <t>파일명</t>
  </si>
  <si>
    <t>CSS</t>
  </si>
  <si>
    <t>/common/css</t>
  </si>
  <si>
    <t>common.css</t>
  </si>
  <si>
    <t>JAVASCRIPT</t>
  </si>
  <si>
    <t>/common/js</t>
  </si>
  <si>
    <t>common.js</t>
  </si>
  <si>
    <t>com_message.js</t>
  </si>
  <si>
    <t>팀원 or 조원 or 개인 : 홍길동,김길동,이길동,최길동
no / 작성자 / 제목 / version / 작성일 / 작성시각 / 버전 근거 내용
13_작성자_화면경로_v02_년월일_시각 / 00팀_회의록_년월일_시각
13_작성자_화면경로_v01_년월일_시각 / 00팀_회의록_년월일_시각</t>
  </si>
  <si>
    <t>폴더경로</t>
  </si>
  <si>
    <t>school</t>
  </si>
  <si>
    <t>school_insert.jsp</t>
  </si>
  <si>
    <t>학교 정보 등록 폼</t>
  </si>
  <si>
    <t>school_list.jsp</t>
  </si>
  <si>
    <t>학교 정보 검색 및 전체 리스트</t>
  </si>
  <si>
    <t>school_modify.jsp</t>
  </si>
  <si>
    <t>학교 정보 수정 폼</t>
  </si>
  <si>
    <t>school_detail.jsp</t>
  </si>
  <si>
    <t>학교 세부 정보 화면</t>
  </si>
  <si>
    <t>prioritystandard_insert.jsp</t>
  </si>
  <si>
    <t>학생 취업우선순위 평가기준 폼</t>
  </si>
  <si>
    <t>prioritystandard_modify.jsp</t>
  </si>
  <si>
    <t>학생 취업우선순위 평가기준 수정 폼</t>
  </si>
  <si>
    <t>coevaluate_insert.jsp</t>
  </si>
  <si>
    <t>업체 평가기준 폼</t>
  </si>
  <si>
    <t>coevaluate_modify.jsp</t>
  </si>
  <si>
    <t>업체 평가기준 수정폼</t>
  </si>
  <si>
    <t>user</t>
  </si>
  <si>
    <t>user_insert.jsp</t>
  </si>
  <si>
    <t>회원 정보 등록 폼</t>
  </si>
  <si>
    <t>user_list.jsp</t>
  </si>
  <si>
    <t>회원 정보 검색 및 전체 리스트</t>
  </si>
  <si>
    <t>user_modify.jsp</t>
  </si>
  <si>
    <t>회원 정보 수정 폼</t>
  </si>
  <si>
    <t>user_detail.jsp</t>
  </si>
  <si>
    <t>회원 세부 정보 화면</t>
  </si>
  <si>
    <t>user_delete.jsp</t>
  </si>
  <si>
    <t>회원 정보 삭제 폼</t>
  </si>
  <si>
    <t>company_insert.jsp</t>
  </si>
  <si>
    <t>업체 정보 등록 폼</t>
  </si>
  <si>
    <t>company_list.jsp</t>
  </si>
  <si>
    <t>업체 정보 검색 및 전체 리스트</t>
  </si>
  <si>
    <t xml:space="preserve">company </t>
  </si>
  <si>
    <t>company_modify.jsp</t>
  </si>
  <si>
    <t>업체 정보 수정 폼</t>
  </si>
  <si>
    <t>company_detail.jsp</t>
  </si>
  <si>
    <t>업체 세부 정보 화면</t>
  </si>
  <si>
    <t>company_delete.jsp</t>
  </si>
  <si>
    <t>업체 정보 삭제 폼</t>
  </si>
  <si>
    <t>student</t>
  </si>
  <si>
    <t>student_insert.jsp</t>
  </si>
  <si>
    <t>학생 기본 정보 등록 폼</t>
  </si>
  <si>
    <t>student_modify.jsp</t>
  </si>
  <si>
    <t>학생 기본 정보 수정 폼</t>
  </si>
  <si>
    <t>hakgi_insert_jsp</t>
  </si>
  <si>
    <t>학생 학기 정보 등록 폼</t>
  </si>
  <si>
    <t>hakgi_modify.jsp</t>
  </si>
  <si>
    <t>학생 학기 정보 수정 폼</t>
  </si>
  <si>
    <t>student_list.jsp</t>
  </si>
  <si>
    <t>학생 정보 검색 및 전체 리스트</t>
  </si>
  <si>
    <t>student_detail.jsp</t>
  </si>
  <si>
    <t>학생 세부 정보 화면</t>
  </si>
  <si>
    <t>student_delete.jsp</t>
  </si>
  <si>
    <t>학생 정보 삭제 폼</t>
  </si>
  <si>
    <t>activity_modify.jsp</t>
  </si>
  <si>
    <t>점수화 수정 폼</t>
  </si>
  <si>
    <t>activity_insert.jsp</t>
  </si>
  <si>
    <t>점수화 입력 폼</t>
  </si>
  <si>
    <t>employ</t>
  </si>
  <si>
    <t>employ_list.jsp</t>
  </si>
  <si>
    <t>채용 리스트, 검색</t>
  </si>
  <si>
    <t>employ_modify.jsp</t>
  </si>
  <si>
    <t>employ_detail.jsp</t>
  </si>
  <si>
    <t>employ_insert.jsp</t>
  </si>
  <si>
    <t>councel</t>
  </si>
  <si>
    <t>counsel</t>
  </si>
  <si>
    <t>counsel_list.jsp</t>
  </si>
  <si>
    <t>상담리스트, 검색</t>
  </si>
  <si>
    <t>counsel_modify.jsp</t>
  </si>
  <si>
    <t>counsel_detail.jsp</t>
  </si>
  <si>
    <t>counsel_insert.jsp</t>
  </si>
  <si>
    <t>plan</t>
  </si>
  <si>
    <t>plan_list.jsp</t>
  </si>
  <si>
    <t>plan_modify.jsp</t>
  </si>
  <si>
    <t>plan_detail.jsp</t>
  </si>
  <si>
    <t>plan_insert.jsp</t>
  </si>
  <si>
    <t>afterservice_insert.jsp</t>
  </si>
  <si>
    <t>추수지도 입력화면</t>
  </si>
  <si>
    <t>afterservice_Modify.jsp</t>
  </si>
  <si>
    <t>추수지도 수정화면</t>
  </si>
  <si>
    <t>state</t>
  </si>
  <si>
    <t>state_list.jsp</t>
  </si>
  <si>
    <t>state_modify.jsp</t>
  </si>
  <si>
    <t>state_insert.jsp</t>
  </si>
  <si>
    <t>documents_insert.jsp</t>
  </si>
  <si>
    <t>서류 입력화면</t>
  </si>
  <si>
    <t>documents_modify.jsp</t>
  </si>
  <si>
    <t>서류 수정화면</t>
  </si>
  <si>
    <t>trainning</t>
  </si>
  <si>
    <t>trainning_insert.jsp</t>
  </si>
  <si>
    <t>학생일지 입력화면</t>
  </si>
  <si>
    <t>trainning_modify.jsp</t>
  </si>
  <si>
    <t>학생일지 수정화면</t>
  </si>
  <si>
    <t>trainning_detail.jsp</t>
  </si>
  <si>
    <t>학생일지 상세보기 화면</t>
  </si>
  <si>
    <t>trainning_List.jsp</t>
  </si>
  <si>
    <t>학생일지 리스트 화면</t>
  </si>
  <si>
    <t>board_insert.jsp</t>
  </si>
  <si>
    <t>게시물 입력화면</t>
  </si>
  <si>
    <t>board_list.jsp</t>
  </si>
  <si>
    <t>게시물 리스트화면</t>
  </si>
  <si>
    <t>board_modify.jsp</t>
  </si>
  <si>
    <t>게시물 수정화면</t>
  </si>
  <si>
    <t>board_detail.jsp</t>
  </si>
  <si>
    <t>게시물 상세보기 화면</t>
  </si>
  <si>
    <t>stranking</t>
  </si>
  <si>
    <t>stranking_insert.jsp</t>
  </si>
  <si>
    <t>stranking_list.jsp</t>
  </si>
  <si>
    <t>stranking_modify.jsp</t>
  </si>
  <si>
    <t>stranking_detail.jsp</t>
  </si>
  <si>
    <t>공용</t>
  </si>
  <si>
    <t>WEB-INF/lib</t>
  </si>
  <si>
    <t>cos.jar</t>
  </si>
  <si>
    <t>파일 업로드 라이브러리</t>
  </si>
  <si>
    <t>jai_codec.jar</t>
  </si>
  <si>
    <t>썸네일 코덱 라이브러리</t>
  </si>
  <si>
    <t>jai_core.jar</t>
  </si>
  <si>
    <t>썸네일 생성 라이브러리</t>
  </si>
  <si>
    <t>json-simple-1.1.1.jar</t>
  </si>
  <si>
    <t>AJAX 라이브러리</t>
  </si>
  <si>
    <t>mysql-connector-java-5.1.22-bin.jar</t>
  </si>
  <si>
    <t>mysql접속 드라이버</t>
  </si>
  <si>
    <t>js</t>
  </si>
  <si>
    <t>jquery-2.1.1.min.js</t>
  </si>
  <si>
    <t>Jquery드라이버 파일</t>
  </si>
  <si>
    <t>WEB-INF/</t>
  </si>
  <si>
    <t>web.xml</t>
  </si>
  <si>
    <t>컨트롤러 연결</t>
  </si>
  <si>
    <t>*.As/*.Doc/*.Tra/*.Hugi/*.Board</t>
  </si>
  <si>
    <t>클래스 경로</t>
  </si>
  <si>
    <t>팀원 or 조원 or 개인 : 홍길동,김길동,이길동,최길동
no / 작성자 / 제목 / version / 작성일 / 작성시각 / 버전 근거 내용
14_작성자_클래스경로_v02_년월일_시각 / 00팀_회의록_년월일_시각
14_작성자_클래스경로_v01_년월일_시각 / 00팀_회의록_년월일_시각</t>
  </si>
  <si>
    <t>페키지명</t>
  </si>
  <si>
    <t>클래스 또는 인터페이스 명</t>
  </si>
  <si>
    <t>메소드 명</t>
  </si>
  <si>
    <t>kr.or.ksmart.admin.controller</t>
  </si>
  <si>
    <t>MemberController</t>
  </si>
  <si>
    <t>getMemberList</t>
  </si>
  <si>
    <t>교직원 목록 조회 요청 시 교직원 목록 data view 반환</t>
  </si>
  <si>
    <t>CourseController</t>
  </si>
  <si>
    <t>getCourseList</t>
  </si>
  <si>
    <t>과정 목록 조회 요청시 과정 목록 data viw반환</t>
  </si>
  <si>
    <t>kr.or.ksmart.admin.service</t>
  </si>
  <si>
    <t>MemberService</t>
  </si>
  <si>
    <t>addMember</t>
  </si>
  <si>
    <t>교직원 등록</t>
  </si>
  <si>
    <t>modifyMember</t>
  </si>
  <si>
    <t>교직원 수정 처리</t>
  </si>
  <si>
    <t>CourseService</t>
  </si>
  <si>
    <t>addCourse</t>
  </si>
  <si>
    <t>과정 등록</t>
  </si>
  <si>
    <t>kr.or.ksmart.admin.dao</t>
  </si>
  <si>
    <t>MemberMapper</t>
  </si>
  <si>
    <t>removeMember</t>
  </si>
  <si>
    <t>교직원 탈퇴</t>
  </si>
  <si>
    <t>getMemberInfoById</t>
  </si>
  <si>
    <t>교직원 상세 정보 조회</t>
  </si>
  <si>
    <t>CourseMapper</t>
  </si>
  <si>
    <t>removeCourse</t>
  </si>
  <si>
    <t>과정 삭제</t>
  </si>
  <si>
    <t>kr.or.ksmart.student.controller</t>
  </si>
  <si>
    <t>StudentController</t>
  </si>
  <si>
    <t>modifyStundent</t>
  </si>
  <si>
    <t>학생로그인시 개인 정보 수정</t>
  </si>
  <si>
    <t>팀원 or 조원 or 개인 : 홍길동,김길동,이길동,최길동
no / 작성자 / 제목 / version / 작성일 / 작성시각 / 버전 근거 내용
15_작성자_URI매핑_v02_년월일_시각 / 00팀_회의록_년월일_시각
15_작성자_URI매핑_v01_년월일_시각 / 00팀_회의록_년월일_시각</t>
  </si>
  <si>
    <t>URI 매핑</t>
  </si>
  <si>
    <t>연결 클래스랑 html / jsp</t>
  </si>
  <si>
    <t>URI</t>
  </si>
  <si>
    <t>get/post</t>
  </si>
  <si>
    <t>school/school_insert.jsp</t>
  </si>
  <si>
    <t xml:space="preserve">school/schoolInsert   </t>
  </si>
  <si>
    <t>학교정보입력</t>
  </si>
  <si>
    <t xml:space="preserve">school/schoolInsertAction   </t>
  </si>
  <si>
    <t xml:space="preserve">school/schoolModify   </t>
  </si>
  <si>
    <t xml:space="preserve">school/schoolModifyAction   </t>
  </si>
  <si>
    <t xml:space="preserve">school/schoolDeleteAction   </t>
  </si>
  <si>
    <t>post</t>
  </si>
  <si>
    <t xml:space="preserve">school/schoolDetailAction   </t>
  </si>
  <si>
    <t xml:space="preserve">school/schoolList   </t>
  </si>
  <si>
    <t xml:space="preserve">user/userInsert </t>
  </si>
  <si>
    <t xml:space="preserve">user/userInsertAction </t>
  </si>
  <si>
    <t xml:space="preserve">user/userModify </t>
  </si>
  <si>
    <t xml:space="preserve">user/userModifyAction </t>
  </si>
  <si>
    <t xml:space="preserve">user/userDelete </t>
  </si>
  <si>
    <t xml:space="preserve">user/userDeleteAction </t>
  </si>
  <si>
    <t xml:space="preserve">user/userDetailAction </t>
  </si>
  <si>
    <t xml:space="preserve">user/userList </t>
  </si>
  <si>
    <t>팀원 or 조원 or 개인 : 홍길동,김길동,이길동,최길동
no / 작성자 / 제목 / version / 작성일 / 작성시각 / 버전 근거 내용
16_작성자_사이트맵_v02_년월일_시각 / 00팀_회의록_년월일_시각
16_작성자_사이트맵_v01_년월일_시각 / 00팀_회의록_년월일_시각</t>
  </si>
  <si>
    <t>사이트맵</t>
  </si>
  <si>
    <t>NO</t>
  </si>
  <si>
    <t xml:space="preserve">화면 메뉴 DEPTH </t>
  </si>
  <si>
    <t>GET/
POST</t>
  </si>
  <si>
    <t>강의안내</t>
  </si>
  <si>
    <t>강의소개</t>
  </si>
  <si>
    <t>course/introduce</t>
  </si>
  <si>
    <t>GET</t>
  </si>
  <si>
    <t>강의 소개 페이지</t>
  </si>
  <si>
    <t>수강혜택</t>
  </si>
  <si>
    <t>course/benefit</t>
  </si>
  <si>
    <t>수강시 혜택 소개 페이지</t>
  </si>
  <si>
    <t>강의시간표</t>
  </si>
  <si>
    <t>course/schedule</t>
  </si>
  <si>
    <t>강의 시간표 페이지</t>
  </si>
  <si>
    <t>강사소개</t>
  </si>
  <si>
    <t>course/teacher</t>
  </si>
  <si>
    <t>강좌별 강사 소개 페이지</t>
  </si>
  <si>
    <t>수강후기</t>
  </si>
  <si>
    <t>course/review</t>
  </si>
  <si>
    <t>POST</t>
  </si>
  <si>
    <t>강좌별 수강 후기 페이지</t>
  </si>
  <si>
    <t>수강신청</t>
  </si>
  <si>
    <t>course/enrolment</t>
  </si>
  <si>
    <t>강좌 수강신청 페이지</t>
  </si>
  <si>
    <t>회원안내</t>
  </si>
  <si>
    <t>로그인</t>
  </si>
  <si>
    <t>member/login</t>
  </si>
  <si>
    <t>교직원 및 학생 로그인 페이지</t>
  </si>
  <si>
    <t>회원가입</t>
  </si>
  <si>
    <t>member/addMember</t>
  </si>
  <si>
    <t>수강생 회원가입 페이지</t>
  </si>
  <si>
    <t>아이디/비밀번호찾기</t>
  </si>
  <si>
    <t>member/forgotMemberInfo</t>
  </si>
  <si>
    <t>아이디/비밀번호 찾기 페이지</t>
  </si>
  <si>
    <t>회원정보 수정</t>
  </si>
  <si>
    <t>member/modifyMember</t>
  </si>
  <si>
    <t>학생 정보 수정 페이지</t>
  </si>
  <si>
    <t>프로젝트 일정 및 간트차트</t>
  </si>
  <si>
    <t xml:space="preserve">시작일, 종료일, 진행현황만 입력하면 작업일수, 진행일수가 계산되어 간트차트에 적용됩니다. </t>
  </si>
  <si>
    <t>학사행정시스템</t>
  </si>
  <si>
    <t>팀원 or 조원 or 개인 : 홍길동,김길동,이길동,최길동
no / 작성자 / 제목 / version / 작성일 / 작성시각 / 버전 근거 내용
17_작성자_상세일정_v02_년월일_시각 / 00팀_회의록_년월일_시각
17_작성자_상세일정_v01_년월일_시각 / 00팀_회의록_년월일_시각</t>
  </si>
  <si>
    <t>담당자
(팀원)</t>
  </si>
  <si>
    <t>진행내용</t>
  </si>
  <si>
    <t>일정</t>
  </si>
  <si>
    <t>SYSTEM</t>
  </si>
  <si>
    <t>기능</t>
  </si>
  <si>
    <t>시작일</t>
  </si>
  <si>
    <t>종료일</t>
  </si>
  <si>
    <t>작업일수</t>
  </si>
  <si>
    <t>진행현황</t>
  </si>
  <si>
    <t>진행일수</t>
  </si>
  <si>
    <t>홍담당</t>
  </si>
  <si>
    <t>김담당</t>
  </si>
  <si>
    <t>이담당</t>
  </si>
  <si>
    <t>정담당</t>
  </si>
  <si>
    <t>아이디/비밀번호 찾기</t>
  </si>
  <si>
    <t>회원탈퇴</t>
  </si>
  <si>
    <t>회원정보수정</t>
  </si>
  <si>
    <t>커뮤니티</t>
  </si>
  <si>
    <t>총 진행 현황</t>
  </si>
  <si>
    <t>null</t>
    <phoneticPr fontId="45" type="noConversion"/>
  </si>
  <si>
    <t>1명</t>
    <phoneticPr fontId="45" type="noConversion"/>
  </si>
  <si>
    <t>가능</t>
    <phoneticPr fontId="45" type="noConversion"/>
  </si>
  <si>
    <t>불가능</t>
    <phoneticPr fontId="45" type="noConversion"/>
  </si>
  <si>
    <t>문의글 공개 유무</t>
    <phoneticPr fontId="45" type="noConversion"/>
  </si>
  <si>
    <t>공개</t>
    <phoneticPr fontId="45" type="noConversion"/>
  </si>
  <si>
    <t>비공개</t>
    <phoneticPr fontId="45" type="noConversion"/>
  </si>
  <si>
    <t>ques_public_check</t>
    <phoneticPr fontId="45" type="noConversion"/>
  </si>
  <si>
    <t>업체 혹은 개인이 될 수 있음</t>
    <phoneticPr fontId="45" type="noConversion"/>
  </si>
  <si>
    <t>문의글 확인 체크</t>
    <phoneticPr fontId="45" type="noConversion"/>
  </si>
  <si>
    <t>ques_check_comfirm</t>
    <phoneticPr fontId="45" type="noConversion"/>
  </si>
  <si>
    <t>확인</t>
    <phoneticPr fontId="45" type="noConversion"/>
  </si>
  <si>
    <t>미확인</t>
    <phoneticPr fontId="45" type="noConversion"/>
  </si>
  <si>
    <t>후기</t>
    <phoneticPr fontId="45" type="noConversion"/>
  </si>
  <si>
    <t>service_review</t>
    <phoneticPr fontId="45" type="noConversion"/>
  </si>
  <si>
    <t>후기 분류</t>
    <phoneticPr fontId="45" type="noConversion"/>
  </si>
  <si>
    <t>goods</t>
    <phoneticPr fontId="45" type="noConversion"/>
  </si>
  <si>
    <t>Pet_hos</t>
  </si>
  <si>
    <t>결제 상태</t>
    <phoneticPr fontId="45" type="noConversion"/>
  </si>
  <si>
    <t>fr_payment</t>
    <phoneticPr fontId="45" type="noConversion"/>
  </si>
  <si>
    <t>결제 전</t>
    <phoneticPr fontId="45" type="noConversion"/>
  </si>
  <si>
    <t>결제 완료</t>
    <phoneticPr fontId="45" type="noConversion"/>
  </si>
  <si>
    <t>장례 서비스</t>
    <phoneticPr fontId="45" type="noConversion"/>
  </si>
  <si>
    <t xml:space="preserve">추천수 </t>
    <phoneticPr fontId="48" type="noConversion"/>
  </si>
  <si>
    <t>댓글</t>
    <phoneticPr fontId="48" type="noConversion"/>
  </si>
  <si>
    <t>내용</t>
    <phoneticPr fontId="48" type="noConversion"/>
  </si>
  <si>
    <t>등록일자</t>
    <phoneticPr fontId="48" type="noConversion"/>
  </si>
  <si>
    <t>수정일자</t>
    <phoneticPr fontId="48" type="noConversion"/>
  </si>
  <si>
    <t>삭제일자</t>
    <phoneticPr fontId="48" type="noConversion"/>
  </si>
  <si>
    <t>상위댓글</t>
    <phoneticPr fontId="48" type="noConversion"/>
  </si>
  <si>
    <t>고슴도치도 진료 되나요?</t>
    <phoneticPr fontId="48" type="noConversion"/>
  </si>
  <si>
    <t>-</t>
    <phoneticPr fontId="48" type="noConversion"/>
  </si>
  <si>
    <t>예약은 어떻게 하나요?</t>
    <phoneticPr fontId="48" type="noConversion"/>
  </si>
  <si>
    <t>비슷한 상황인데 어떤약을 먹여야 하나요??</t>
    <phoneticPr fontId="48" type="noConversion"/>
  </si>
  <si>
    <t>후기 조회수</t>
    <phoneticPr fontId="45" type="noConversion"/>
  </si>
  <si>
    <t>후기 등록일자</t>
    <phoneticPr fontId="45" type="noConversion"/>
  </si>
  <si>
    <t>후기 수정일자</t>
    <phoneticPr fontId="45" type="noConversion"/>
  </si>
  <si>
    <t>후기 이미지</t>
    <phoneticPr fontId="45" type="noConversion"/>
  </si>
  <si>
    <t>null</t>
    <phoneticPr fontId="45" type="noConversion"/>
  </si>
  <si>
    <t>후기 삭제 일자</t>
    <phoneticPr fontId="45" type="noConversion"/>
  </si>
  <si>
    <t>-</t>
    <phoneticPr fontId="45" type="noConversion"/>
  </si>
  <si>
    <t>테이블 개수</t>
    <phoneticPr fontId="45" type="noConversion"/>
  </si>
  <si>
    <t>상품가격</t>
    <phoneticPr fontId="45" type="noConversion"/>
  </si>
  <si>
    <t>판매자 아이디(FK)</t>
    <phoneticPr fontId="45" type="noConversion"/>
  </si>
  <si>
    <t>등록일자</t>
    <phoneticPr fontId="45" type="noConversion"/>
  </si>
  <si>
    <t>상품이미지</t>
    <phoneticPr fontId="45" type="noConversion"/>
  </si>
  <si>
    <t>상세내용</t>
    <phoneticPr fontId="45" type="noConversion"/>
  </si>
  <si>
    <t>상품상태(FK)</t>
    <phoneticPr fontId="45" type="noConversion"/>
  </si>
  <si>
    <t>재고</t>
    <phoneticPr fontId="45" type="noConversion"/>
  </si>
  <si>
    <t>입고일</t>
    <phoneticPr fontId="45" type="noConversion"/>
  </si>
  <si>
    <t>재입고일</t>
    <phoneticPr fontId="45" type="noConversion"/>
  </si>
  <si>
    <t>g_status(Fk)</t>
    <phoneticPr fontId="45" type="noConversion"/>
  </si>
  <si>
    <t>g_w_date</t>
    <phoneticPr fontId="45" type="noConversion"/>
  </si>
  <si>
    <t>g_restock_date</t>
    <phoneticPr fontId="45" type="noConversion"/>
  </si>
  <si>
    <t>g_reviews</t>
    <phoneticPr fontId="45" type="noConversion"/>
  </si>
  <si>
    <t>판매종료</t>
    <phoneticPr fontId="45" type="noConversion"/>
  </si>
  <si>
    <t>판매 업체 코드(FK)</t>
    <phoneticPr fontId="45" type="noConversion"/>
  </si>
  <si>
    <t>결제시간</t>
    <phoneticPr fontId="45" type="noConversion"/>
  </si>
  <si>
    <t>주문 번호(FK)</t>
    <phoneticPr fontId="45" type="noConversion"/>
  </si>
  <si>
    <t>최종금액</t>
    <phoneticPr fontId="45" type="noConversion"/>
  </si>
  <si>
    <t>결제수단</t>
    <phoneticPr fontId="45" type="noConversion"/>
  </si>
  <si>
    <t>결제상태</t>
    <phoneticPr fontId="45" type="noConversion"/>
  </si>
  <si>
    <t>결제자 ID(FK)</t>
    <phoneticPr fontId="45" type="noConversion"/>
  </si>
  <si>
    <t>수량</t>
    <phoneticPr fontId="45" type="noConversion"/>
  </si>
  <si>
    <t>장바구니</t>
    <phoneticPr fontId="45" type="noConversion"/>
  </si>
  <si>
    <t>basket</t>
    <phoneticPr fontId="45" type="noConversion"/>
  </si>
  <si>
    <t>장바구니 ID (PK)</t>
    <phoneticPr fontId="45" type="noConversion"/>
  </si>
  <si>
    <t>사용자 ID (FK)</t>
    <phoneticPr fontId="45" type="noConversion"/>
  </si>
  <si>
    <t>상품 ID (FK)</t>
    <phoneticPr fontId="45" type="noConversion"/>
  </si>
  <si>
    <t>주문 완료</t>
    <phoneticPr fontId="45" type="noConversion"/>
  </si>
  <si>
    <t>주문 취소</t>
    <phoneticPr fontId="45" type="noConversion"/>
  </si>
  <si>
    <t>배송중</t>
    <phoneticPr fontId="45" type="noConversion"/>
  </si>
  <si>
    <t>배송 완료</t>
    <phoneticPr fontId="45" type="noConversion"/>
  </si>
  <si>
    <t>평점</t>
    <phoneticPr fontId="45" type="noConversion"/>
  </si>
  <si>
    <t>g_review_score</t>
    <phoneticPr fontId="45" type="noConversion"/>
  </si>
  <si>
    <t>주문</t>
  </si>
  <si>
    <t>order</t>
  </si>
  <si>
    <t>주문번호(PK)</t>
    <phoneticPr fontId="45" type="noConversion"/>
  </si>
  <si>
    <t>주문자아이디(FK)</t>
    <phoneticPr fontId="45" type="noConversion"/>
  </si>
  <si>
    <t>받는 사람</t>
    <phoneticPr fontId="45" type="noConversion"/>
  </si>
  <si>
    <t>받는 사람 연락처</t>
    <phoneticPr fontId="45" type="noConversion"/>
  </si>
  <si>
    <t>받는 사람 주소</t>
    <phoneticPr fontId="45" type="noConversion"/>
  </si>
  <si>
    <t>주문 일자</t>
    <phoneticPr fontId="45" type="noConversion"/>
  </si>
  <si>
    <t>환불 여부</t>
    <phoneticPr fontId="45" type="noConversion"/>
  </si>
  <si>
    <t>요청사항</t>
    <phoneticPr fontId="45" type="noConversion"/>
  </si>
  <si>
    <t>주문상품(FK)</t>
    <phoneticPr fontId="45" type="noConversion"/>
  </si>
  <si>
    <t>총 금액</t>
    <phoneticPr fontId="45" type="noConversion"/>
  </si>
  <si>
    <t>i</t>
  </si>
  <si>
    <t>o_contact</t>
  </si>
  <si>
    <t>o_addr</t>
  </si>
  <si>
    <t>o_date</t>
  </si>
  <si>
    <t>포장 해제</t>
  </si>
  <si>
    <t>두겹 포장</t>
  </si>
  <si>
    <t>환불 완료</t>
    <phoneticPr fontId="45" type="noConversion"/>
  </si>
  <si>
    <t>파손 주의</t>
  </si>
  <si>
    <t>예약 확인</t>
    <phoneticPr fontId="45" type="noConversion"/>
  </si>
  <si>
    <t>예약 대기</t>
    <phoneticPr fontId="45" type="noConversion"/>
  </si>
  <si>
    <t>예약 승인</t>
    <phoneticPr fontId="45" type="noConversion"/>
  </si>
  <si>
    <t>예약 취소</t>
    <phoneticPr fontId="45" type="noConversion"/>
  </si>
  <si>
    <t>업체 코드</t>
    <phoneticPr fontId="45" type="noConversion"/>
  </si>
  <si>
    <t>업체 분류</t>
    <phoneticPr fontId="45" type="noConversion"/>
  </si>
  <si>
    <t>업체 명</t>
    <phoneticPr fontId="45" type="noConversion"/>
  </si>
  <si>
    <t>업체 주소</t>
    <phoneticPr fontId="45" type="noConversion"/>
  </si>
  <si>
    <t>업체 전화번호</t>
    <phoneticPr fontId="45" type="noConversion"/>
  </si>
  <si>
    <t>서울연신내동물병원</t>
    <phoneticPr fontId="45" type="noConversion"/>
  </si>
  <si>
    <t>서울봉천특수동물병원</t>
    <phoneticPr fontId="45" type="noConversion"/>
  </si>
  <si>
    <t>약국</t>
    <phoneticPr fontId="45" type="noConversion"/>
  </si>
  <si>
    <t>병원</t>
    <phoneticPr fontId="45" type="noConversion"/>
  </si>
  <si>
    <t>판매</t>
    <phoneticPr fontId="45" type="noConversion"/>
  </si>
  <si>
    <t>판매</t>
    <phoneticPr fontId="45" type="noConversion"/>
  </si>
  <si>
    <t>장례</t>
    <phoneticPr fontId="45" type="noConversion"/>
  </si>
  <si>
    <t>서울24시약국</t>
    <phoneticPr fontId="45" type="noConversion"/>
  </si>
  <si>
    <t>롯데제과펫</t>
    <phoneticPr fontId="45" type="noConversion"/>
  </si>
  <si>
    <t>오리온제과펫</t>
    <phoneticPr fontId="45" type="noConversion"/>
  </si>
  <si>
    <t>잘가요우리펫</t>
    <phoneticPr fontId="45" type="noConversion"/>
  </si>
  <si>
    <t>업체 운영 시간</t>
    <phoneticPr fontId="45" type="noConversion"/>
  </si>
  <si>
    <t>업체 이메일 안내</t>
  </si>
  <si>
    <t>com_email</t>
  </si>
  <si>
    <t>5명</t>
    <phoneticPr fontId="45" type="noConversion"/>
  </si>
  <si>
    <t>업체 직원수</t>
    <phoneticPr fontId="45" type="noConversion"/>
  </si>
  <si>
    <t>Mon</t>
    <phoneticPr fontId="45" type="noConversion"/>
  </si>
  <si>
    <t>op_1</t>
  </si>
  <si>
    <t>op_2</t>
  </si>
  <si>
    <t>op_3</t>
  </si>
  <si>
    <t>Tue</t>
    <phoneticPr fontId="45" type="noConversion"/>
  </si>
  <si>
    <t>WEN</t>
    <phoneticPr fontId="45" type="noConversion"/>
  </si>
  <si>
    <t>Fri</t>
    <phoneticPr fontId="45" type="noConversion"/>
  </si>
  <si>
    <t>Sat</t>
    <phoneticPr fontId="45" type="noConversion"/>
  </si>
  <si>
    <t>Sun</t>
    <phoneticPr fontId="45" type="noConversion"/>
  </si>
  <si>
    <t>Thu</t>
    <phoneticPr fontId="45" type="noConversion"/>
  </si>
  <si>
    <t>op_4</t>
  </si>
  <si>
    <t>op_5</t>
  </si>
  <si>
    <t>op_6</t>
  </si>
  <si>
    <t>공휴일</t>
    <phoneticPr fontId="45" type="noConversion"/>
  </si>
  <si>
    <t>정기휴무</t>
    <phoneticPr fontId="45" type="noConversion"/>
  </si>
  <si>
    <t>업체 대표자명</t>
    <phoneticPr fontId="45" type="noConversion"/>
  </si>
  <si>
    <t>일길동</t>
    <phoneticPr fontId="45" type="noConversion"/>
  </si>
  <si>
    <t>이길동</t>
    <phoneticPr fontId="45" type="noConversion"/>
  </si>
  <si>
    <t>삼길동</t>
    <phoneticPr fontId="45" type="noConversion"/>
  </si>
  <si>
    <t>사길동</t>
    <phoneticPr fontId="45" type="noConversion"/>
  </si>
  <si>
    <t>오길동</t>
    <phoneticPr fontId="45" type="noConversion"/>
  </si>
  <si>
    <t>육길동</t>
    <phoneticPr fontId="45" type="noConversion"/>
  </si>
  <si>
    <t>업체 주차장 유무</t>
    <phoneticPr fontId="45" type="noConversion"/>
  </si>
  <si>
    <t>com_parking</t>
    <phoneticPr fontId="45" type="noConversion"/>
  </si>
  <si>
    <t>휴게시간</t>
    <phoneticPr fontId="45" type="noConversion"/>
  </si>
  <si>
    <t>치료 가능 종</t>
    <phoneticPr fontId="45" type="noConversion"/>
  </si>
  <si>
    <t>치료가능 동물</t>
    <phoneticPr fontId="45" type="noConversion"/>
  </si>
  <si>
    <t>개</t>
    <phoneticPr fontId="45" type="noConversion"/>
  </si>
  <si>
    <t>고양이</t>
    <phoneticPr fontId="45" type="noConversion"/>
  </si>
  <si>
    <t>기니피그</t>
    <phoneticPr fontId="45" type="noConversion"/>
  </si>
  <si>
    <t>고슴도치</t>
    <phoneticPr fontId="45" type="noConversion"/>
  </si>
  <si>
    <t>라쿤</t>
    <phoneticPr fontId="45" type="noConversion"/>
  </si>
  <si>
    <t>도마뱀</t>
    <phoneticPr fontId="45" type="noConversion"/>
  </si>
  <si>
    <t>여우</t>
    <phoneticPr fontId="45" type="noConversion"/>
  </si>
  <si>
    <t>조류</t>
    <phoneticPr fontId="45" type="noConversion"/>
  </si>
  <si>
    <t>슈가글라이더</t>
    <phoneticPr fontId="45" type="noConversion"/>
  </si>
  <si>
    <t>오리</t>
    <phoneticPr fontId="45" type="noConversion"/>
  </si>
  <si>
    <t>햄스터</t>
    <phoneticPr fontId="45" type="noConversion"/>
  </si>
  <si>
    <t>업체 페이지 권한</t>
    <phoneticPr fontId="45" type="noConversion"/>
  </si>
  <si>
    <t>level_1</t>
    <phoneticPr fontId="45" type="noConversion"/>
  </si>
  <si>
    <t>level_2</t>
  </si>
  <si>
    <t>level_3</t>
  </si>
  <si>
    <t>com_page_level</t>
    <phoneticPr fontId="45" type="noConversion"/>
  </si>
  <si>
    <t>페이지 수정</t>
    <phoneticPr fontId="45" type="noConversion"/>
  </si>
  <si>
    <t>문의 관리</t>
    <phoneticPr fontId="45" type="noConversion"/>
  </si>
  <si>
    <t>리뷰 관리</t>
    <phoneticPr fontId="45" type="noConversion"/>
  </si>
  <si>
    <t>상품 관리</t>
    <phoneticPr fontId="45" type="noConversion"/>
  </si>
  <si>
    <t>가능</t>
    <phoneticPr fontId="45" type="noConversion"/>
  </si>
  <si>
    <t>불가</t>
    <phoneticPr fontId="45" type="noConversion"/>
  </si>
  <si>
    <t>업체 지도</t>
    <phoneticPr fontId="45" type="noConversion"/>
  </si>
  <si>
    <t>com_map</t>
    <phoneticPr fontId="45" type="noConversion"/>
  </si>
  <si>
    <t>등록 링크</t>
    <phoneticPr fontId="45" type="noConversion"/>
  </si>
  <si>
    <t>url_1</t>
    <phoneticPr fontId="45" type="noConversion"/>
  </si>
  <si>
    <t>url_2</t>
  </si>
  <si>
    <t>url_3</t>
  </si>
  <si>
    <t>url_4</t>
  </si>
  <si>
    <t>4.0</t>
    <phoneticPr fontId="45" type="noConversion"/>
  </si>
  <si>
    <t>상품 결제</t>
    <phoneticPr fontId="45" type="noConversion"/>
  </si>
  <si>
    <t>장례 서비스 결제</t>
    <phoneticPr fontId="45" type="noConversion"/>
  </si>
  <si>
    <t>장례 서비스 가격</t>
    <phoneticPr fontId="45" type="noConversion"/>
  </si>
  <si>
    <t>운구 서비스</t>
    <phoneticPr fontId="45" type="noConversion"/>
  </si>
  <si>
    <t>베이직 장례</t>
    <phoneticPr fontId="45" type="noConversion"/>
  </si>
  <si>
    <t xml:space="preserve">반려동물 스톤 </t>
    <phoneticPr fontId="45" type="noConversion"/>
  </si>
  <si>
    <t>봉안</t>
    <phoneticPr fontId="45" type="noConversion"/>
  </si>
  <si>
    <t>요람 장례</t>
    <phoneticPr fontId="45" type="noConversion"/>
  </si>
  <si>
    <t>장례업체별 서비스</t>
    <phoneticPr fontId="45" type="noConversion"/>
  </si>
  <si>
    <t>fs_weight</t>
    <phoneticPr fontId="45" type="noConversion"/>
  </si>
  <si>
    <t>fs_price</t>
    <phoneticPr fontId="45" type="noConversion"/>
  </si>
  <si>
    <t>fs_title</t>
    <phoneticPr fontId="45" type="noConversion"/>
  </si>
  <si>
    <t>1kg 미만</t>
    <phoneticPr fontId="45" type="noConversion"/>
  </si>
  <si>
    <t>10</t>
    <phoneticPr fontId="45" type="noConversion"/>
  </si>
  <si>
    <t>20</t>
    <phoneticPr fontId="45" type="noConversion"/>
  </si>
  <si>
    <t>허용 무게(kg)</t>
    <phoneticPr fontId="45" type="noConversion"/>
  </si>
  <si>
    <t>모두 가능</t>
    <phoneticPr fontId="45" type="noConversion"/>
  </si>
  <si>
    <t>10kg 이하</t>
    <phoneticPr fontId="45" type="noConversion"/>
  </si>
  <si>
    <t>5kg 이하</t>
    <phoneticPr fontId="45" type="noConversion"/>
  </si>
  <si>
    <t>15kg 이하</t>
    <phoneticPr fontId="45" type="noConversion"/>
  </si>
  <si>
    <t>stf_level(page_level)</t>
    <phoneticPr fontId="45" type="noConversion"/>
  </si>
  <si>
    <t>stf_id(id)</t>
    <phoneticPr fontId="45" type="noConversion"/>
  </si>
  <si>
    <t>등급(fk)</t>
    <phoneticPr fontId="45" type="noConversion"/>
  </si>
  <si>
    <t>아이디(fk)</t>
    <phoneticPr fontId="45" type="noConversion"/>
  </si>
  <si>
    <t>업체 권한(fk)</t>
    <phoneticPr fontId="45" type="noConversion"/>
  </si>
  <si>
    <t>회원 등급(pk)</t>
    <phoneticPr fontId="45" type="noConversion"/>
  </si>
  <si>
    <t>id(id)</t>
    <phoneticPr fontId="45" type="noConversion"/>
  </si>
  <si>
    <t>회원 포인트 내역</t>
    <phoneticPr fontId="45" type="noConversion"/>
  </si>
  <si>
    <t>mpcode</t>
    <phoneticPr fontId="45" type="noConversion"/>
  </si>
  <si>
    <t>회원 포인트 내역 코드(pk)</t>
    <phoneticPr fontId="45" type="noConversion"/>
  </si>
  <si>
    <t>mp_client(comcode)</t>
    <phoneticPr fontId="45" type="noConversion"/>
  </si>
  <si>
    <t>거래처(fk)</t>
    <phoneticPr fontId="45" type="noConversion"/>
  </si>
  <si>
    <t>관심코드(PK)</t>
    <phoneticPr fontId="45" type="noConversion"/>
  </si>
  <si>
    <t>pcode</t>
    <phoneticPr fontId="45" type="noConversion"/>
  </si>
  <si>
    <t>보호자(fk)</t>
    <phoneticPr fontId="45" type="noConversion"/>
  </si>
  <si>
    <t>company</t>
    <phoneticPr fontId="45" type="noConversion"/>
  </si>
  <si>
    <t>lkcode</t>
    <phoneticPr fontId="45" type="noConversion"/>
  </si>
  <si>
    <t>lk_id(id)</t>
    <phoneticPr fontId="45" type="noConversion"/>
  </si>
  <si>
    <t>lk_alarm</t>
    <phoneticPr fontId="45" type="noConversion"/>
  </si>
  <si>
    <t>stf_com(comcode)</t>
    <phoneticPr fontId="45" type="noConversion"/>
  </si>
  <si>
    <t>lk_com(comcode)</t>
    <phoneticPr fontId="45" type="noConversion"/>
  </si>
  <si>
    <t>업체 코드(fk)</t>
    <phoneticPr fontId="45" type="noConversion"/>
  </si>
  <si>
    <t>알림여부</t>
    <phoneticPr fontId="45" type="noConversion"/>
  </si>
  <si>
    <t>ccode(pk)</t>
    <phoneticPr fontId="45" type="noConversion"/>
  </si>
  <si>
    <t>com_class</t>
    <phoneticPr fontId="45" type="noConversion"/>
  </si>
  <si>
    <t>com_name</t>
    <phoneticPr fontId="45" type="noConversion"/>
  </si>
  <si>
    <t>com_addr</t>
    <phoneticPr fontId="45" type="noConversion"/>
  </si>
  <si>
    <t>서울 대림구</t>
    <phoneticPr fontId="45" type="noConversion"/>
  </si>
  <si>
    <t>com_ceo</t>
    <phoneticPr fontId="45" type="noConversion"/>
  </si>
  <si>
    <t>com_phone</t>
    <phoneticPr fontId="45" type="noConversion"/>
  </si>
  <si>
    <t>com_stfcount</t>
    <phoneticPr fontId="45" type="noConversion"/>
  </si>
  <si>
    <t>com_time(otcode)</t>
    <phoneticPr fontId="45" type="noConversion"/>
  </si>
  <si>
    <t>업체 운영 시간(fk)</t>
    <phoneticPr fontId="45" type="noConversion"/>
  </si>
  <si>
    <t>otccode(ccode)</t>
    <phoneticPr fontId="45" type="noConversion"/>
  </si>
  <si>
    <t>업체 코드(fk)</t>
    <phoneticPr fontId="45" type="noConversion"/>
  </si>
  <si>
    <t>otcode</t>
    <phoneticPr fontId="45" type="noConversion"/>
  </si>
  <si>
    <t>운영 시간 코드(pk)</t>
    <phoneticPr fontId="45" type="noConversion"/>
  </si>
  <si>
    <t>com_oper_time</t>
    <phoneticPr fontId="45" type="noConversion"/>
  </si>
  <si>
    <t>병원 상세 정보</t>
    <phoneticPr fontId="45" type="noConversion"/>
  </si>
  <si>
    <t>hos_doc</t>
    <phoneticPr fontId="45" type="noConversion"/>
  </si>
  <si>
    <t>특수 동물 전문의</t>
    <phoneticPr fontId="45" type="noConversion"/>
  </si>
  <si>
    <t>hos_spdoc</t>
    <phoneticPr fontId="45" type="noConversion"/>
  </si>
  <si>
    <t>hos_stay</t>
    <phoneticPr fontId="45" type="noConversion"/>
  </si>
  <si>
    <t>치료 가능 동물 코드(pk)</t>
    <phoneticPr fontId="45" type="noConversion"/>
  </si>
  <si>
    <t>hoscode</t>
    <phoneticPr fontId="45" type="noConversion"/>
  </si>
  <si>
    <t>pvaluecode</t>
    <phoneticPr fontId="45" type="noConversion"/>
  </si>
  <si>
    <t>병원 업체 코드(fk)</t>
    <phoneticPr fontId="45" type="noConversion"/>
  </si>
  <si>
    <t>care_hos(hoscode)</t>
    <phoneticPr fontId="45" type="noConversion"/>
  </si>
  <si>
    <t>care_value</t>
    <phoneticPr fontId="45" type="noConversion"/>
  </si>
  <si>
    <t>pet_hos_info</t>
    <phoneticPr fontId="45" type="noConversion"/>
  </si>
  <si>
    <t>pet_value</t>
    <phoneticPr fontId="45" type="noConversion"/>
  </si>
  <si>
    <t>page_level</t>
    <phoneticPr fontId="45" type="noConversion"/>
  </si>
  <si>
    <t>스태프 권한 코드(pk)</t>
    <phoneticPr fontId="45" type="noConversion"/>
  </si>
  <si>
    <t>page_update</t>
    <phoneticPr fontId="45" type="noConversion"/>
  </si>
  <si>
    <t>page_oper</t>
    <phoneticPr fontId="45" type="noConversion"/>
  </si>
  <si>
    <t>review_oper</t>
    <phoneticPr fontId="45" type="noConversion"/>
  </si>
  <si>
    <t>goods_oper</t>
    <phoneticPr fontId="45" type="noConversion"/>
  </si>
  <si>
    <t>ques_id(id)</t>
    <phoneticPr fontId="45" type="noConversion"/>
  </si>
  <si>
    <t>문의 작성자 ID(fk)</t>
    <phoneticPr fontId="45" type="noConversion"/>
  </si>
  <si>
    <t>ques_target(ccode)</t>
    <phoneticPr fontId="45" type="noConversion"/>
  </si>
  <si>
    <t>문의할 대상(fk)</t>
    <phoneticPr fontId="45" type="noConversion"/>
  </si>
  <si>
    <t>문의글 답변 ID(fk)</t>
    <phoneticPr fontId="45" type="noConversion"/>
  </si>
  <si>
    <t>ques_answer_id(id)</t>
    <phoneticPr fontId="45" type="noConversion"/>
  </si>
  <si>
    <t>inform</t>
    <phoneticPr fontId="45" type="noConversion"/>
  </si>
  <si>
    <t>informcode</t>
    <phoneticPr fontId="45" type="noConversion"/>
  </si>
  <si>
    <t>inform_rec_id</t>
    <phoneticPr fontId="45" type="noConversion"/>
  </si>
  <si>
    <t>inform_datetime</t>
    <phoneticPr fontId="45" type="noConversion"/>
  </si>
  <si>
    <t>inform_contents</t>
    <phoneticPr fontId="45" type="noConversion"/>
  </si>
  <si>
    <t>inform_cycle</t>
    <phoneticPr fontId="45" type="noConversion"/>
  </si>
  <si>
    <t>inform_value</t>
    <phoneticPr fontId="45" type="noConversion"/>
  </si>
  <si>
    <t>inform_send_id(id)</t>
    <phoneticPr fontId="45" type="noConversion"/>
  </si>
  <si>
    <t>발신자 ID(fk)</t>
    <phoneticPr fontId="45" type="noConversion"/>
  </si>
  <si>
    <t>수신자 ID(fk)</t>
    <phoneticPr fontId="45" type="noConversion"/>
  </si>
  <si>
    <t>문의글 번호(pk)</t>
    <phoneticPr fontId="45" type="noConversion"/>
  </si>
  <si>
    <t>알림 번호(pk)</t>
    <phoneticPr fontId="45" type="noConversion"/>
  </si>
  <si>
    <t>revcode</t>
    <phoneticPr fontId="45" type="noConversion"/>
  </si>
  <si>
    <t>rev_admin_id(id)</t>
    <phoneticPr fontId="45" type="noConversion"/>
  </si>
  <si>
    <t>후기 등록 ID(fk)</t>
    <phoneticPr fontId="45" type="noConversion"/>
  </si>
  <si>
    <t>rev_category</t>
    <phoneticPr fontId="45" type="noConversion"/>
  </si>
  <si>
    <t>rev_com_code(ccode)</t>
    <phoneticPr fontId="45" type="noConversion"/>
  </si>
  <si>
    <t>후기 대상 업체 코드(fk)</t>
    <phoneticPr fontId="45" type="noConversion"/>
  </si>
  <si>
    <t>rev_count</t>
    <phoneticPr fontId="45" type="noConversion"/>
  </si>
  <si>
    <t>rev_admin_date</t>
    <phoneticPr fontId="45" type="noConversion"/>
  </si>
  <si>
    <t>rev_update_date</t>
    <phoneticPr fontId="45" type="noConversion"/>
  </si>
  <si>
    <t>rev_delete_date</t>
    <phoneticPr fontId="45" type="noConversion"/>
  </si>
  <si>
    <t>rev_img</t>
    <phoneticPr fontId="45" type="noConversion"/>
  </si>
  <si>
    <t>후기 등록 코드(pk)</t>
    <phoneticPr fontId="45" type="noConversion"/>
  </si>
  <si>
    <t>nbcode</t>
    <phoneticPr fontId="45" type="noConversion"/>
  </si>
  <si>
    <t>bcode</t>
    <phoneticPr fontId="45" type="noConversion"/>
  </si>
  <si>
    <t>board_category</t>
    <phoneticPr fontId="45" type="noConversion"/>
  </si>
  <si>
    <t>작성자 id(fk)</t>
    <phoneticPr fontId="45" type="noConversion"/>
  </si>
  <si>
    <t>nb_id(id)</t>
    <phoneticPr fontId="45" type="noConversion"/>
  </si>
  <si>
    <t>nb_title</t>
    <phoneticPr fontId="45" type="noConversion"/>
  </si>
  <si>
    <t>nb_content</t>
    <phoneticPr fontId="45" type="noConversion"/>
  </si>
  <si>
    <t>nb_reg</t>
    <phoneticPr fontId="45" type="noConversion"/>
  </si>
  <si>
    <t>nb_update</t>
    <phoneticPr fontId="45" type="noConversion"/>
  </si>
  <si>
    <t>nb_delete</t>
    <phoneticPr fontId="45" type="noConversion"/>
  </si>
  <si>
    <t>nb_img</t>
    <phoneticPr fontId="45" type="noConversion"/>
  </si>
  <si>
    <t>nb_view</t>
    <phoneticPr fontId="45" type="noConversion"/>
  </si>
  <si>
    <t>ab_id(id)</t>
    <phoneticPr fontId="45" type="noConversion"/>
  </si>
  <si>
    <t>ab_title</t>
    <phoneticPr fontId="45" type="noConversion"/>
  </si>
  <si>
    <t>ab_content</t>
    <phoneticPr fontId="45" type="noConversion"/>
  </si>
  <si>
    <t>ab_reg</t>
    <phoneticPr fontId="45" type="noConversion"/>
  </si>
  <si>
    <t>ab_update</t>
    <phoneticPr fontId="45" type="noConversion"/>
  </si>
  <si>
    <t>ab_delete</t>
    <phoneticPr fontId="45" type="noConversion"/>
  </si>
  <si>
    <t>ab_img</t>
    <phoneticPr fontId="45" type="noConversion"/>
  </si>
  <si>
    <t>ab_view</t>
    <phoneticPr fontId="45" type="noConversion"/>
  </si>
  <si>
    <t>13</t>
    <phoneticPr fontId="45" type="noConversion"/>
  </si>
  <si>
    <t>56</t>
    <phoneticPr fontId="45" type="noConversion"/>
  </si>
  <si>
    <t>233</t>
    <phoneticPr fontId="45" type="noConversion"/>
  </si>
  <si>
    <t>댓글번호(pk)</t>
    <phoneticPr fontId="48" type="noConversion"/>
  </si>
  <si>
    <t>board_comment</t>
    <phoneticPr fontId="48" type="noConversion"/>
  </si>
  <si>
    <t>bccode</t>
    <phoneticPr fontId="48" type="noConversion"/>
  </si>
  <si>
    <t>게시글</t>
    <phoneticPr fontId="45" type="noConversion"/>
  </si>
  <si>
    <t>nb_rec</t>
    <phoneticPr fontId="45" type="noConversion"/>
  </si>
  <si>
    <t>답변</t>
    <phoneticPr fontId="45" type="noConversion"/>
  </si>
  <si>
    <t>abcode</t>
    <phoneticPr fontId="45" type="noConversion"/>
  </si>
  <si>
    <t>answer_board</t>
    <phoneticPr fontId="45" type="noConversion"/>
  </si>
  <si>
    <t>bctcode</t>
    <phoneticPr fontId="45" type="noConversion"/>
  </si>
  <si>
    <t>bct_name</t>
    <phoneticPr fontId="45" type="noConversion"/>
  </si>
  <si>
    <t>bct_value</t>
    <phoneticPr fontId="45" type="noConversion"/>
  </si>
  <si>
    <t>b_id(bcode)</t>
    <phoneticPr fontId="48" type="noConversion"/>
  </si>
  <si>
    <t>게시글 번호(fk)</t>
    <phoneticPr fontId="48" type="noConversion"/>
  </si>
  <si>
    <t>nb1</t>
    <phoneticPr fontId="45" type="noConversion"/>
  </si>
  <si>
    <t>b_code(bcode)</t>
    <phoneticPr fontId="45" type="noConversion"/>
  </si>
  <si>
    <t>게시판 코드(fk)</t>
    <phoneticPr fontId="45" type="noConversion"/>
  </si>
  <si>
    <t>게시판 코드(pk)</t>
    <phoneticPr fontId="45" type="noConversion"/>
  </si>
  <si>
    <t>카테고리 코드(pk)</t>
    <phoneticPr fontId="45" type="noConversion"/>
  </si>
  <si>
    <t>게시글 코드(pk)</t>
    <phoneticPr fontId="45" type="noConversion"/>
  </si>
  <si>
    <t>카테고리 코드(fk)</t>
    <phoneticPr fontId="45" type="noConversion"/>
  </si>
  <si>
    <t>bct_code(bccode)</t>
    <phoneticPr fontId="45" type="noConversion"/>
  </si>
  <si>
    <t>게시글 코드(fk)</t>
    <phoneticPr fontId="45" type="noConversion"/>
  </si>
  <si>
    <t>nb_code(nbcode)</t>
    <phoneticPr fontId="45" type="noConversion"/>
  </si>
  <si>
    <t>답변 코드(pk)</t>
    <phoneticPr fontId="45" type="noConversion"/>
  </si>
  <si>
    <t>하위댓글</t>
    <phoneticPr fontId="48" type="noConversion"/>
  </si>
  <si>
    <t xml:space="preserve"> 작성자 id(fk)</t>
    <phoneticPr fontId="48" type="noConversion"/>
  </si>
  <si>
    <t>bc_id(id)</t>
    <phoneticPr fontId="48" type="noConversion"/>
  </si>
  <si>
    <t>bc_content</t>
    <phoneticPr fontId="48" type="noConversion"/>
  </si>
  <si>
    <t>bc_reg</t>
    <phoneticPr fontId="48" type="noConversion"/>
  </si>
  <si>
    <t>bc_update</t>
    <phoneticPr fontId="48" type="noConversion"/>
  </si>
  <si>
    <t>bc_delete</t>
    <phoneticPr fontId="48" type="noConversion"/>
  </si>
  <si>
    <t>bc_delete</t>
    <phoneticPr fontId="48" type="noConversion"/>
  </si>
  <si>
    <t>bc_previous</t>
    <phoneticPr fontId="48" type="noConversion"/>
  </si>
  <si>
    <t>bc_num</t>
    <phoneticPr fontId="48" type="noConversion"/>
  </si>
  <si>
    <t>bc532</t>
    <phoneticPr fontId="48" type="noConversion"/>
  </si>
  <si>
    <t>cmcode</t>
    <phoneticPr fontId="45" type="noConversion"/>
  </si>
  <si>
    <t>cm_link</t>
    <phoneticPr fontId="45" type="noConversion"/>
  </si>
  <si>
    <t>cm_com(ccode)</t>
    <phoneticPr fontId="45" type="noConversion"/>
  </si>
  <si>
    <t>지도 코드(pk)</t>
    <phoneticPr fontId="45" type="noConversion"/>
  </si>
  <si>
    <t>g_ccode(fk)</t>
    <phoneticPr fontId="45" type="noConversion"/>
  </si>
  <si>
    <t>g_img</t>
    <phoneticPr fontId="45" type="noConversion"/>
  </si>
  <si>
    <t>g_contents</t>
    <phoneticPr fontId="45" type="noConversion"/>
  </si>
  <si>
    <t>주문수량</t>
    <phoneticPr fontId="45" type="noConversion"/>
  </si>
  <si>
    <t>30</t>
    <phoneticPr fontId="45" type="noConversion"/>
  </si>
  <si>
    <t>40</t>
    <phoneticPr fontId="45" type="noConversion"/>
  </si>
  <si>
    <t>50</t>
    <phoneticPr fontId="45" type="noConversion"/>
  </si>
  <si>
    <t>o_total_price</t>
    <phoneticPr fontId="45" type="noConversion"/>
  </si>
  <si>
    <t>o_req</t>
    <phoneticPr fontId="45" type="noConversion"/>
  </si>
  <si>
    <t>o_ref_status</t>
    <phoneticPr fontId="45" type="noConversion"/>
  </si>
  <si>
    <t>o_recip</t>
    <phoneticPr fontId="45" type="noConversion"/>
  </si>
  <si>
    <t>order_id(id)</t>
    <phoneticPr fontId="45" type="noConversion"/>
  </si>
  <si>
    <t>ordercode</t>
    <phoneticPr fontId="45" type="noConversion"/>
  </si>
  <si>
    <t>gcode</t>
    <phoneticPr fontId="45" type="noConversion"/>
  </si>
  <si>
    <t>o_opergoods(gcode)</t>
    <phoneticPr fontId="45" type="noConversion"/>
  </si>
  <si>
    <t>bsk_gcode(gcode)</t>
    <phoneticPr fontId="45" type="noConversion"/>
  </si>
  <si>
    <t>bsk_id(id)</t>
    <phoneticPr fontId="45" type="noConversion"/>
  </si>
  <si>
    <t>bsk_amount</t>
    <phoneticPr fontId="45" type="noConversion"/>
  </si>
  <si>
    <t>bskcode</t>
    <phoneticPr fontId="45" type="noConversion"/>
  </si>
  <si>
    <t>fscode</t>
    <phoneticPr fontId="45" type="noConversion"/>
  </si>
  <si>
    <t>서비스코드(pk)</t>
    <phoneticPr fontId="45" type="noConversion"/>
  </si>
  <si>
    <t>업체코드(fk)</t>
    <phoneticPr fontId="45" type="noConversion"/>
  </si>
  <si>
    <t>f_ccode(ccode)</t>
    <phoneticPr fontId="45" type="noConversion"/>
  </si>
  <si>
    <t>frcode</t>
    <phoneticPr fontId="45" type="noConversion"/>
  </si>
  <si>
    <t>fr_service(fscode)</t>
    <phoneticPr fontId="45" type="noConversion"/>
  </si>
  <si>
    <t>fr_id(id)</t>
    <phoneticPr fontId="45" type="noConversion"/>
  </si>
  <si>
    <t>주문자 아이디(fk)</t>
    <phoneticPr fontId="45" type="noConversion"/>
  </si>
  <si>
    <t>서비스 코드(fk)</t>
    <phoneticPr fontId="45" type="noConversion"/>
  </si>
  <si>
    <t>신청코드(pk)</t>
    <phoneticPr fontId="45" type="noConversion"/>
  </si>
  <si>
    <t>fr_start_date</t>
    <phoneticPr fontId="45" type="noConversion"/>
  </si>
  <si>
    <t>fr_end_date</t>
    <phoneticPr fontId="45" type="noConversion"/>
  </si>
  <si>
    <t>fr_phone</t>
    <phoneticPr fontId="45" type="noConversion"/>
  </si>
  <si>
    <t>fr_confirm</t>
    <phoneticPr fontId="45" type="noConversion"/>
  </si>
  <si>
    <t>goods_payment</t>
    <phoneticPr fontId="45" type="noConversion"/>
  </si>
  <si>
    <t>gpaycode</t>
    <phoneticPr fontId="45" type="noConversion"/>
  </si>
  <si>
    <t>gp_buyer_id</t>
    <phoneticPr fontId="45" type="noConversion"/>
  </si>
  <si>
    <t>gp_pay_date</t>
    <phoneticPr fontId="45" type="noConversion"/>
  </si>
  <si>
    <t>gp_order(ordercode)</t>
    <phoneticPr fontId="45" type="noConversion"/>
  </si>
  <si>
    <t>gp_method</t>
    <phoneticPr fontId="45" type="noConversion"/>
  </si>
  <si>
    <t>gp_status</t>
    <phoneticPr fontId="45" type="noConversion"/>
  </si>
  <si>
    <t>gp_final</t>
    <phoneticPr fontId="45" type="noConversion"/>
  </si>
  <si>
    <t>funeral_payment</t>
    <phoneticPr fontId="45" type="noConversion"/>
  </si>
  <si>
    <t>funeral_service</t>
    <phoneticPr fontId="45" type="noConversion"/>
  </si>
  <si>
    <t>funeral_reserve</t>
    <phoneticPr fontId="45" type="noConversion"/>
  </si>
  <si>
    <t>fp_pay_date</t>
    <phoneticPr fontId="45" type="noConversion"/>
  </si>
  <si>
    <t>fp_name</t>
    <phoneticPr fontId="45" type="noConversion"/>
  </si>
  <si>
    <t>서비스 이름</t>
    <phoneticPr fontId="45" type="noConversion"/>
  </si>
  <si>
    <t>fp_final</t>
    <phoneticPr fontId="45" type="noConversion"/>
  </si>
  <si>
    <t>fp_method</t>
    <phoneticPr fontId="45" type="noConversion"/>
  </si>
  <si>
    <t>fp_status</t>
    <phoneticPr fontId="45" type="noConversion"/>
  </si>
  <si>
    <t>서비스 코드(FK)</t>
    <phoneticPr fontId="45" type="noConversion"/>
  </si>
  <si>
    <t>fp_service(frcode)</t>
    <phoneticPr fontId="45" type="noConversion"/>
  </si>
  <si>
    <t>fpcode</t>
    <phoneticPr fontId="45" type="noConversion"/>
  </si>
  <si>
    <t>fp_id(id)</t>
    <phoneticPr fontId="45" type="noConversion"/>
  </si>
  <si>
    <t>서비스 이용자 ID(FK)</t>
    <phoneticPr fontId="45" type="noConversion"/>
  </si>
  <si>
    <t>가능</t>
    <phoneticPr fontId="45" type="noConversion"/>
  </si>
  <si>
    <t>가능</t>
    <phoneticPr fontId="45" type="noConversion"/>
  </si>
  <si>
    <t>불가</t>
    <phoneticPr fontId="45" type="noConversion"/>
  </si>
  <si>
    <t>24시간 운영</t>
    <phoneticPr fontId="45" type="noConversion"/>
  </si>
  <si>
    <t>null</t>
    <phoneticPr fontId="45" type="noConversion"/>
  </si>
  <si>
    <t>휴무</t>
    <phoneticPr fontId="45" type="noConversion"/>
  </si>
  <si>
    <t>매주 화요일</t>
    <phoneticPr fontId="45" type="noConversion"/>
  </si>
  <si>
    <t>매주 수요일</t>
    <phoneticPr fontId="45" type="noConversion"/>
  </si>
  <si>
    <t>공휴일</t>
    <phoneticPr fontId="45" type="noConversion"/>
  </si>
  <si>
    <t>35</t>
    <phoneticPr fontId="45" type="noConversion"/>
  </si>
  <si>
    <t>250</t>
    <phoneticPr fontId="45" type="noConversion"/>
  </si>
  <si>
    <t>둘이 먹다가 하나가 죽어도</t>
    <phoneticPr fontId="45" type="noConversion"/>
  </si>
  <si>
    <t>어릴 때 먹던 맛있는 맛</t>
    <phoneticPr fontId="45" type="noConversion"/>
  </si>
  <si>
    <t>직원 회원 관리</t>
    <phoneticPr fontId="45" type="noConversion"/>
  </si>
  <si>
    <t>ot_mon</t>
    <phoneticPr fontId="45" type="noConversion"/>
  </si>
  <si>
    <t>ot_tue</t>
    <phoneticPr fontId="45" type="noConversion"/>
  </si>
  <si>
    <t>ot_thu</t>
    <phoneticPr fontId="45" type="noConversion"/>
  </si>
  <si>
    <t>ot_wed</t>
    <phoneticPr fontId="45" type="noConversion"/>
  </si>
  <si>
    <t>ot_fri</t>
    <phoneticPr fontId="45" type="noConversion"/>
  </si>
  <si>
    <t>ot_sat</t>
    <phoneticPr fontId="45" type="noConversion"/>
  </si>
  <si>
    <t>ot_sun</t>
    <phoneticPr fontId="45" type="noConversion"/>
  </si>
  <si>
    <t>ot_hoilday</t>
    <phoneticPr fontId="45" type="noConversion"/>
  </si>
  <si>
    <t>ot_regular_holiday</t>
    <phoneticPr fontId="45" type="noConversion"/>
  </si>
  <si>
    <t>ot_break_time</t>
    <phoneticPr fontId="45" type="noConversion"/>
  </si>
  <si>
    <t>id1430</t>
    <phoneticPr fontId="45" type="noConversion"/>
  </si>
  <si>
    <t>id09</t>
    <phoneticPr fontId="45" type="noConversion"/>
  </si>
  <si>
    <t>댓글</t>
    <phoneticPr fontId="45" type="noConversion"/>
  </si>
  <si>
    <t>7</t>
    <phoneticPr fontId="45" type="noConversion"/>
  </si>
  <si>
    <t>o_status</t>
    <phoneticPr fontId="45" type="noConversion"/>
  </si>
  <si>
    <t>주문 상태</t>
    <phoneticPr fontId="45" type="noConversion"/>
  </si>
  <si>
    <t>1번</t>
    <phoneticPr fontId="45" type="noConversion"/>
  </si>
  <si>
    <t>회원관리</t>
    <phoneticPr fontId="45" type="noConversion"/>
  </si>
  <si>
    <t>2번</t>
    <phoneticPr fontId="45" type="noConversion"/>
  </si>
  <si>
    <t>회원 등급</t>
    <phoneticPr fontId="45" type="noConversion"/>
  </si>
  <si>
    <t>3번</t>
    <phoneticPr fontId="45" type="noConversion"/>
  </si>
  <si>
    <t>회원 포인트</t>
    <phoneticPr fontId="45" type="noConversion"/>
  </si>
  <si>
    <t>4번</t>
    <phoneticPr fontId="45" type="noConversion"/>
  </si>
  <si>
    <t>반려 동물</t>
    <phoneticPr fontId="45" type="noConversion"/>
  </si>
  <si>
    <t>5번</t>
    <phoneticPr fontId="45" type="noConversion"/>
  </si>
  <si>
    <t>업체 정보</t>
    <phoneticPr fontId="45" type="noConversion"/>
  </si>
  <si>
    <t>6번</t>
    <phoneticPr fontId="45" type="noConversion"/>
  </si>
  <si>
    <t>직원 관리</t>
    <phoneticPr fontId="45" type="noConversion"/>
  </si>
  <si>
    <t>7번</t>
    <phoneticPr fontId="45" type="noConversion"/>
  </si>
  <si>
    <t>업체 페이지</t>
    <phoneticPr fontId="45" type="noConversion"/>
  </si>
  <si>
    <t>8번</t>
    <phoneticPr fontId="45" type="noConversion"/>
  </si>
  <si>
    <t>관심 업체</t>
    <phoneticPr fontId="45" type="noConversion"/>
  </si>
  <si>
    <t>9번</t>
    <phoneticPr fontId="45" type="noConversion"/>
  </si>
  <si>
    <t>업체 운영 시간</t>
    <phoneticPr fontId="45" type="noConversion"/>
  </si>
  <si>
    <t>10번</t>
    <phoneticPr fontId="45" type="noConversion"/>
  </si>
  <si>
    <t>병원 상세 정보</t>
    <phoneticPr fontId="45" type="noConversion"/>
  </si>
  <si>
    <t>11번</t>
    <phoneticPr fontId="45" type="noConversion"/>
  </si>
  <si>
    <t>치료 종</t>
    <phoneticPr fontId="45" type="noConversion"/>
  </si>
  <si>
    <t>12번</t>
    <phoneticPr fontId="45" type="noConversion"/>
  </si>
  <si>
    <t>문의</t>
    <phoneticPr fontId="45" type="noConversion"/>
  </si>
  <si>
    <t>13번</t>
    <phoneticPr fontId="45" type="noConversion"/>
  </si>
  <si>
    <t>알림</t>
    <phoneticPr fontId="45" type="noConversion"/>
  </si>
  <si>
    <t>14번</t>
    <phoneticPr fontId="45" type="noConversion"/>
  </si>
  <si>
    <t>후기</t>
    <phoneticPr fontId="45" type="noConversion"/>
  </si>
  <si>
    <t>15번</t>
    <phoneticPr fontId="45" type="noConversion"/>
  </si>
  <si>
    <t>게시판</t>
    <phoneticPr fontId="45" type="noConversion"/>
  </si>
  <si>
    <t>16번</t>
    <phoneticPr fontId="45" type="noConversion"/>
  </si>
  <si>
    <t>카테고리</t>
    <phoneticPr fontId="45" type="noConversion"/>
  </si>
  <si>
    <t>17번</t>
    <phoneticPr fontId="45" type="noConversion"/>
  </si>
  <si>
    <t>게시글</t>
    <phoneticPr fontId="45" type="noConversion"/>
  </si>
  <si>
    <t>18번</t>
    <phoneticPr fontId="45" type="noConversion"/>
  </si>
  <si>
    <t>답변</t>
    <phoneticPr fontId="45" type="noConversion"/>
  </si>
  <si>
    <t>19번</t>
    <phoneticPr fontId="45" type="noConversion"/>
  </si>
  <si>
    <t>댓글</t>
    <phoneticPr fontId="45" type="noConversion"/>
  </si>
  <si>
    <t>업체 지도</t>
    <phoneticPr fontId="45" type="noConversion"/>
  </si>
  <si>
    <t>21번</t>
    <phoneticPr fontId="45" type="noConversion"/>
  </si>
  <si>
    <t>판매 상품</t>
    <phoneticPr fontId="45" type="noConversion"/>
  </si>
  <si>
    <t>판매 상품</t>
    <phoneticPr fontId="45" type="noConversion"/>
  </si>
  <si>
    <t>22번</t>
    <phoneticPr fontId="45" type="noConversion"/>
  </si>
  <si>
    <t>장바구니</t>
    <phoneticPr fontId="45" type="noConversion"/>
  </si>
  <si>
    <t>23번</t>
    <phoneticPr fontId="45" type="noConversion"/>
  </si>
  <si>
    <t>주문</t>
    <phoneticPr fontId="45" type="noConversion"/>
  </si>
  <si>
    <t>24번</t>
    <phoneticPr fontId="45" type="noConversion"/>
  </si>
  <si>
    <t>상품 결제</t>
    <phoneticPr fontId="45" type="noConversion"/>
  </si>
  <si>
    <t>25번</t>
    <phoneticPr fontId="45" type="noConversion"/>
  </si>
  <si>
    <t>장례 서비스</t>
    <phoneticPr fontId="45" type="noConversion"/>
  </si>
  <si>
    <t>26번</t>
    <phoneticPr fontId="45" type="noConversion"/>
  </si>
  <si>
    <t>장례 예약</t>
    <phoneticPr fontId="45" type="noConversion"/>
  </si>
  <si>
    <t>27번</t>
    <phoneticPr fontId="45" type="noConversion"/>
  </si>
  <si>
    <t>장례 결제</t>
    <phoneticPr fontId="45" type="noConversion"/>
  </si>
  <si>
    <t>판매업체 대표자</t>
    <phoneticPr fontId="45" type="noConversion"/>
  </si>
  <si>
    <t>판매직원</t>
    <phoneticPr fontId="45" type="noConversion"/>
  </si>
  <si>
    <t>의료업체 대표자</t>
    <phoneticPr fontId="45" type="noConversion"/>
  </si>
  <si>
    <t>장례업체 대표자</t>
    <phoneticPr fontId="45" type="noConversion"/>
  </si>
  <si>
    <t>회원 등급 책정 기준</t>
    <phoneticPr fontId="45" type="noConversion"/>
  </si>
  <si>
    <t>포인트 차감</t>
    <phoneticPr fontId="45" type="noConversion"/>
  </si>
  <si>
    <t>포인트 적립</t>
    <phoneticPr fontId="45" type="noConversion"/>
  </si>
  <si>
    <t>ab_add_point</t>
    <phoneticPr fontId="45" type="noConversion"/>
  </si>
  <si>
    <t>nb_sub_point</t>
    <phoneticPr fontId="45" type="noConversion"/>
  </si>
  <si>
    <t>포인트 차감</t>
    <phoneticPr fontId="45" type="noConversion"/>
  </si>
  <si>
    <t>gp_sub_point</t>
    <phoneticPr fontId="45" type="noConversion"/>
  </si>
  <si>
    <t>포인트 차감</t>
    <phoneticPr fontId="45" type="noConversion"/>
  </si>
  <si>
    <t>fp_sub_point</t>
    <phoneticPr fontId="45" type="noConversion"/>
  </si>
  <si>
    <t>페이지 생성</t>
    <phoneticPr fontId="45" type="noConversion"/>
  </si>
  <si>
    <t>page_create</t>
    <phoneticPr fontId="45" type="noConversion"/>
  </si>
  <si>
    <t>page_delete</t>
    <phoneticPr fontId="45" type="noConversion"/>
  </si>
  <si>
    <t>페이지 삭제</t>
    <phoneticPr fontId="45" type="noConversion"/>
  </si>
  <si>
    <t>불가</t>
    <phoneticPr fontId="45" type="noConversion"/>
  </si>
  <si>
    <t>직원 아이디(fk)</t>
    <phoneticPr fontId="45" type="noConversion"/>
  </si>
  <si>
    <t>업체 대표 정보</t>
    <phoneticPr fontId="45" type="noConversion"/>
  </si>
  <si>
    <t>불가</t>
    <phoneticPr fontId="45" type="noConversion"/>
  </si>
  <si>
    <t>판매 상품 명</t>
    <phoneticPr fontId="45" type="noConversion"/>
  </si>
  <si>
    <t>g_name</t>
    <phoneticPr fontId="45" type="noConversion"/>
  </si>
  <si>
    <t>롯데개껌</t>
    <phoneticPr fontId="45" type="noConversion"/>
  </si>
  <si>
    <t>롯데개껌투</t>
    <phoneticPr fontId="45" type="noConversion"/>
  </si>
  <si>
    <t>오리온고양이츄르</t>
    <phoneticPr fontId="45" type="noConversion"/>
  </si>
  <si>
    <t>상세 주문 번호(PK)</t>
    <phoneticPr fontId="45" type="noConversion"/>
  </si>
  <si>
    <t>상세 주문</t>
    <phoneticPr fontId="45" type="noConversion"/>
  </si>
  <si>
    <t>ordercode</t>
  </si>
  <si>
    <t>주문번호(FK)</t>
    <phoneticPr fontId="45" type="noConversion"/>
  </si>
  <si>
    <t>상세 주문</t>
    <phoneticPr fontId="45" type="noConversion"/>
  </si>
  <si>
    <t>28번</t>
    <phoneticPr fontId="45" type="noConversion"/>
  </si>
  <si>
    <t>포인트 적립</t>
    <phoneticPr fontId="45" type="noConversion"/>
  </si>
  <si>
    <t>gp_add_point</t>
    <phoneticPr fontId="45" type="noConversion"/>
  </si>
  <si>
    <t>10</t>
    <phoneticPr fontId="45" type="noConversion"/>
  </si>
  <si>
    <t>20</t>
    <phoneticPr fontId="45" type="noConversion"/>
  </si>
  <si>
    <t>50</t>
    <phoneticPr fontId="45" type="noConversion"/>
  </si>
  <si>
    <t>100</t>
    <phoneticPr fontId="45" type="noConversion"/>
  </si>
  <si>
    <t>고친 부분</t>
    <phoneticPr fontId="45" type="noConversion"/>
  </si>
  <si>
    <t>한글테이블</t>
    <phoneticPr fontId="45" type="noConversion"/>
  </si>
  <si>
    <t>ccode1</t>
  </si>
  <si>
    <t>ccode1</t>
    <phoneticPr fontId="45" type="noConversion"/>
  </si>
  <si>
    <t>ccode2</t>
  </si>
  <si>
    <t>ccode3</t>
  </si>
  <si>
    <t>ccode4</t>
  </si>
  <si>
    <t>ccode5</t>
  </si>
  <si>
    <t>ccode6</t>
  </si>
  <si>
    <t>업체별 관심 등록</t>
    <phoneticPr fontId="45" type="noConversion"/>
  </si>
  <si>
    <t>12-1번</t>
    <phoneticPr fontId="45" type="noConversion"/>
  </si>
  <si>
    <t>병원 행정</t>
    <phoneticPr fontId="45" type="noConversion"/>
  </si>
  <si>
    <t>병원 이용</t>
    <phoneticPr fontId="45" type="noConversion"/>
  </si>
  <si>
    <t>진료 관련</t>
    <phoneticPr fontId="45" type="noConversion"/>
  </si>
  <si>
    <t>의료 업체 문의</t>
    <phoneticPr fontId="45" type="noConversion"/>
  </si>
  <si>
    <t>약국 행정</t>
    <phoneticPr fontId="45" type="noConversion"/>
  </si>
  <si>
    <t>처방 관련</t>
    <phoneticPr fontId="45" type="noConversion"/>
  </si>
  <si>
    <t>재고 문의</t>
    <phoneticPr fontId="45" type="noConversion"/>
  </si>
  <si>
    <t>상품 문의</t>
    <phoneticPr fontId="45" type="noConversion"/>
  </si>
  <si>
    <t>환불 반품</t>
    <phoneticPr fontId="45" type="noConversion"/>
  </si>
  <si>
    <t>배송 문의</t>
    <phoneticPr fontId="45" type="noConversion"/>
  </si>
  <si>
    <t>판매</t>
    <phoneticPr fontId="45" type="noConversion"/>
  </si>
  <si>
    <t>장례</t>
    <phoneticPr fontId="45" type="noConversion"/>
  </si>
  <si>
    <t>의료</t>
    <phoneticPr fontId="45" type="noConversion"/>
  </si>
  <si>
    <t>절차 문의</t>
    <phoneticPr fontId="45" type="noConversion"/>
  </si>
  <si>
    <t>장례 문의</t>
    <phoneticPr fontId="45" type="noConversion"/>
  </si>
  <si>
    <t>비용 문의</t>
    <phoneticPr fontId="45" type="noConversion"/>
  </si>
  <si>
    <t>일정 문의</t>
    <phoneticPr fontId="45" type="noConversion"/>
  </si>
  <si>
    <t>게시판 (대분류)</t>
    <phoneticPr fontId="45" type="noConversion"/>
  </si>
  <si>
    <t>카테고리 (중분류)</t>
    <phoneticPr fontId="45" type="noConversion"/>
  </si>
  <si>
    <t>등록 X 좌표</t>
    <phoneticPr fontId="45" type="noConversion"/>
  </si>
  <si>
    <t>등록 Y 좌표</t>
    <phoneticPr fontId="45" type="noConversion"/>
  </si>
  <si>
    <t>cm_y</t>
    <phoneticPr fontId="45" type="noConversion"/>
  </si>
  <si>
    <t>cm_x</t>
    <phoneticPr fontId="45" type="noConversion"/>
  </si>
  <si>
    <t>5-1번</t>
    <phoneticPr fontId="45" type="noConversion"/>
  </si>
  <si>
    <t>테이블 위치 수정</t>
    <phoneticPr fontId="45" type="noConversion"/>
  </si>
  <si>
    <t>상품 단가</t>
    <phoneticPr fontId="45" type="noConversion"/>
  </si>
  <si>
    <r>
      <t>2</t>
    </r>
    <r>
      <rPr>
        <sz val="11"/>
        <color rgb="FF000000"/>
        <rFont val="맑은 고딕"/>
        <family val="2"/>
        <charset val="129"/>
      </rPr>
      <t>500</t>
    </r>
    <phoneticPr fontId="45" type="noConversion"/>
  </si>
  <si>
    <t>2500</t>
  </si>
  <si>
    <t>22-1번</t>
    <phoneticPr fontId="45" type="noConversion"/>
  </si>
  <si>
    <t>장바구니 상세 항목</t>
    <phoneticPr fontId="45" type="noConversion"/>
  </si>
  <si>
    <t>basket_list</t>
    <phoneticPr fontId="45" type="noConversion"/>
  </si>
  <si>
    <t>장바구니 항목 번호 (PK)</t>
    <phoneticPr fontId="45" type="noConversion"/>
  </si>
  <si>
    <t>장바구니 ID (PK)</t>
  </si>
  <si>
    <t>bskcode</t>
  </si>
  <si>
    <t>장바구니 ID (FK)</t>
    <phoneticPr fontId="45" type="noConversion"/>
  </si>
  <si>
    <t>blistcode</t>
    <phoneticPr fontId="45" type="noConversion"/>
  </si>
  <si>
    <t>blist1</t>
    <phoneticPr fontId="45" type="noConversion"/>
  </si>
  <si>
    <t>blist2</t>
  </si>
  <si>
    <t>blist3</t>
  </si>
  <si>
    <t>blist4</t>
  </si>
  <si>
    <t>bak_price</t>
    <phoneticPr fontId="45" type="noConversion"/>
  </si>
  <si>
    <t>order_list</t>
    <phoneticPr fontId="45" type="noConversion"/>
  </si>
  <si>
    <t>ordlistcode</t>
    <phoneticPr fontId="45" type="noConversion"/>
  </si>
  <si>
    <t>ordlist1</t>
    <phoneticPr fontId="45" type="noConversion"/>
  </si>
  <si>
    <t>ordlist2</t>
  </si>
  <si>
    <t>ordlist3</t>
  </si>
  <si>
    <t>ordlist4</t>
  </si>
  <si>
    <t>ordlist5</t>
  </si>
  <si>
    <t>ordlist_amount</t>
    <phoneticPr fontId="45" type="noConversion"/>
  </si>
  <si>
    <t>ordlist_price</t>
    <phoneticPr fontId="45" type="noConversion"/>
  </si>
  <si>
    <t xml:space="preserve">1. 장바구니 이용하지 않고 결제
2. 장바구니에 상품 담고 결제
=&gt; 쿼리문으로 해결 </t>
    <phoneticPr fontId="45" type="noConversion"/>
  </si>
  <si>
    <t>id1</t>
  </si>
  <si>
    <t>pw1</t>
  </si>
  <si>
    <t>pet1</t>
  </si>
  <si>
    <t>mp1</t>
  </si>
  <si>
    <t>id10</t>
  </si>
  <si>
    <t>id11</t>
  </si>
  <si>
    <t>cm1</t>
  </si>
  <si>
    <t>com1</t>
  </si>
  <si>
    <t>stf1</t>
  </si>
  <si>
    <t>like1</t>
  </si>
  <si>
    <t>ot1</t>
  </si>
  <si>
    <t>hos1</t>
  </si>
  <si>
    <t>pvalue1</t>
  </si>
  <si>
    <t>ques1</t>
  </si>
  <si>
    <t>inform1</t>
  </si>
  <si>
    <t>rev1</t>
  </si>
  <si>
    <t>bct1</t>
  </si>
  <si>
    <t>nb1</t>
  </si>
  <si>
    <t>bc1</t>
  </si>
  <si>
    <t>ab1</t>
  </si>
  <si>
    <t>bsk1</t>
  </si>
  <si>
    <t>goods1</t>
  </si>
  <si>
    <t>gpay1</t>
  </si>
  <si>
    <t>order1</t>
  </si>
  <si>
    <t>fs1</t>
  </si>
  <si>
    <t>fr1</t>
  </si>
  <si>
    <t>fp1</t>
  </si>
  <si>
    <t>id2</t>
  </si>
  <si>
    <t>pw2</t>
  </si>
  <si>
    <t>pet2</t>
  </si>
  <si>
    <t>mp2</t>
  </si>
  <si>
    <t>cm2</t>
  </si>
  <si>
    <t>com2</t>
  </si>
  <si>
    <t>stf2</t>
  </si>
  <si>
    <t>like2</t>
  </si>
  <si>
    <t>ot2</t>
  </si>
  <si>
    <t>hos2</t>
  </si>
  <si>
    <t>pvalue2</t>
  </si>
  <si>
    <t>ques2</t>
  </si>
  <si>
    <t>inform2</t>
  </si>
  <si>
    <t>rev2</t>
  </si>
  <si>
    <t>bct2</t>
  </si>
  <si>
    <t>nb2</t>
  </si>
  <si>
    <t>bc2</t>
  </si>
  <si>
    <t>ab2</t>
  </si>
  <si>
    <t>bsk2</t>
  </si>
  <si>
    <t>goods2</t>
  </si>
  <si>
    <t>gpay2</t>
  </si>
  <si>
    <t>order2</t>
  </si>
  <si>
    <t>fr2</t>
  </si>
  <si>
    <t>fp2</t>
  </si>
  <si>
    <t>id3</t>
  </si>
  <si>
    <t>pw3</t>
  </si>
  <si>
    <t>pet3</t>
  </si>
  <si>
    <t>mp3</t>
  </si>
  <si>
    <t>cm3</t>
  </si>
  <si>
    <t>com3</t>
  </si>
  <si>
    <t>stf3</t>
  </si>
  <si>
    <t>like3</t>
  </si>
  <si>
    <t>ot3</t>
  </si>
  <si>
    <t>hos3</t>
  </si>
  <si>
    <t>pvalue3</t>
  </si>
  <si>
    <t>ques3</t>
  </si>
  <si>
    <t>inform3</t>
  </si>
  <si>
    <t>rev3</t>
  </si>
  <si>
    <t>bct3</t>
  </si>
  <si>
    <t>nb3</t>
  </si>
  <si>
    <t>bc3</t>
  </si>
  <si>
    <t>ab3</t>
  </si>
  <si>
    <t>bsk3</t>
  </si>
  <si>
    <t>goods3</t>
  </si>
  <si>
    <t>gpay3</t>
  </si>
  <si>
    <t>order3</t>
  </si>
  <si>
    <t>fr3</t>
  </si>
  <si>
    <t>fp3</t>
  </si>
  <si>
    <t>id4</t>
  </si>
  <si>
    <t>pw4</t>
  </si>
  <si>
    <t>pet4</t>
  </si>
  <si>
    <t>cm4</t>
  </si>
  <si>
    <t>com4</t>
  </si>
  <si>
    <t>like4</t>
  </si>
  <si>
    <t>ot4</t>
  </si>
  <si>
    <t>pvalue4</t>
  </si>
  <si>
    <t>hos4</t>
  </si>
  <si>
    <t>inform4</t>
  </si>
  <si>
    <t>bsk4</t>
  </si>
  <si>
    <t>goods4</t>
  </si>
  <si>
    <t>gpay4</t>
  </si>
  <si>
    <t>order4</t>
  </si>
  <si>
    <t>fs4</t>
  </si>
  <si>
    <t>fp4</t>
  </si>
  <si>
    <t>fr4</t>
  </si>
  <si>
    <t>id5</t>
  </si>
  <si>
    <t>pw5</t>
  </si>
  <si>
    <t>pet5</t>
  </si>
  <si>
    <t>ot5</t>
  </si>
  <si>
    <t>com5</t>
  </si>
  <si>
    <t>pvalue5</t>
  </si>
  <si>
    <t>hos5</t>
  </si>
  <si>
    <t>bsk5</t>
  </si>
  <si>
    <t>goods5</t>
  </si>
  <si>
    <t>gpay5</t>
  </si>
  <si>
    <t>order5</t>
  </si>
  <si>
    <t>fs5</t>
  </si>
  <si>
    <t>fp5</t>
  </si>
  <si>
    <t>fr5</t>
  </si>
  <si>
    <t>id6</t>
  </si>
  <si>
    <t>pw6</t>
  </si>
  <si>
    <t>ot6</t>
  </si>
  <si>
    <t>pvalue6</t>
  </si>
  <si>
    <t>hos6</t>
  </si>
  <si>
    <t>gpay6</t>
  </si>
  <si>
    <t>order6</t>
  </si>
  <si>
    <t>fp6</t>
  </si>
  <si>
    <t>fr6</t>
  </si>
  <si>
    <t>id7</t>
  </si>
  <si>
    <t>pw7</t>
  </si>
  <si>
    <t>pvalue7</t>
  </si>
  <si>
    <t>hos7</t>
  </si>
  <si>
    <t>id8</t>
  </si>
  <si>
    <t>pw8</t>
  </si>
  <si>
    <t>pvalue8</t>
  </si>
  <si>
    <t>hos8</t>
  </si>
  <si>
    <t>pw9</t>
  </si>
  <si>
    <t>pvalue9</t>
  </si>
  <si>
    <t>hos9</t>
  </si>
  <si>
    <t>10-0000-07</t>
  </si>
  <si>
    <t>10-0000-08</t>
  </si>
  <si>
    <t>10-0000-09</t>
  </si>
  <si>
    <t>10-xxxx-xxxx</t>
  </si>
  <si>
    <t>pvalue10</t>
  </si>
  <si>
    <t>hos10</t>
  </si>
  <si>
    <t xml:space="preserve">id10 님이 댓글을 추가하였습니다. </t>
  </si>
  <si>
    <t>홍1</t>
  </si>
  <si>
    <t>10-0000-1</t>
  </si>
  <si>
    <t>금암1</t>
  </si>
  <si>
    <t>page1.com</t>
  </si>
  <si>
    <t>pvalue11</t>
  </si>
  <si>
    <t>hos11</t>
  </si>
  <si>
    <t>addr1</t>
  </si>
  <si>
    <t>id12</t>
  </si>
  <si>
    <t>224-2-19~224-08-1</t>
  </si>
  <si>
    <t>홍2</t>
  </si>
  <si>
    <t>10-0000-2</t>
  </si>
  <si>
    <t>금암2</t>
  </si>
  <si>
    <t>2-000-1</t>
  </si>
  <si>
    <t>page2.com</t>
  </si>
  <si>
    <t>21.120.310.12</t>
  </si>
  <si>
    <t>pm 12 : 30 ~ pa 2:00</t>
  </si>
  <si>
    <t>222-12-14</t>
  </si>
  <si>
    <t>223-09-20 19시 30분</t>
  </si>
  <si>
    <t>223-2-10 19시 30분</t>
  </si>
  <si>
    <t>224-01-01</t>
  </si>
  <si>
    <t>224-08-08</t>
  </si>
  <si>
    <t>addr2</t>
  </si>
  <si>
    <t>id25</t>
  </si>
  <si>
    <t>id20</t>
  </si>
  <si>
    <t>홍3</t>
  </si>
  <si>
    <t>10-0000-3</t>
  </si>
  <si>
    <t>금암3</t>
  </si>
  <si>
    <t>2-000-3</t>
  </si>
  <si>
    <t>page3.com</t>
  </si>
  <si>
    <t>21.120.310.13</t>
  </si>
  <si>
    <t>223-01-3</t>
  </si>
  <si>
    <t>224-3-22</t>
  </si>
  <si>
    <t>221-3-20 19시 30분</t>
  </si>
  <si>
    <t>image_3</t>
  </si>
  <si>
    <t>addr3</t>
  </si>
  <si>
    <t>홍4</t>
  </si>
  <si>
    <t>10-0000-4</t>
  </si>
  <si>
    <t>금암4</t>
  </si>
  <si>
    <t>2-000-4</t>
  </si>
  <si>
    <t>page4.com</t>
  </si>
  <si>
    <t>21.120.310.14</t>
  </si>
  <si>
    <t>addr4</t>
  </si>
  <si>
    <t>홍5</t>
  </si>
  <si>
    <t>10-0000-5</t>
  </si>
  <si>
    <t>금암5</t>
  </si>
  <si>
    <t>page5.com</t>
  </si>
  <si>
    <t>21.120.310.15</t>
  </si>
  <si>
    <t>224-1-5 09시 27분</t>
  </si>
  <si>
    <t>addr5</t>
  </si>
  <si>
    <t>홍6</t>
  </si>
  <si>
    <t>10-0000-6</t>
  </si>
  <si>
    <t>금암6</t>
  </si>
  <si>
    <t>page6.com</t>
  </si>
  <si>
    <t>am 08 ~ pm 6</t>
  </si>
  <si>
    <t>am 09 ~ pm 6</t>
  </si>
  <si>
    <t>pet6</t>
  </si>
  <si>
    <t>11명</t>
    <phoneticPr fontId="45" type="noConversion"/>
  </si>
  <si>
    <t>1명</t>
    <phoneticPr fontId="45" type="noConversion"/>
  </si>
  <si>
    <t>level_1</t>
    <phoneticPr fontId="45" type="noConversion"/>
  </si>
  <si>
    <t>level_4</t>
  </si>
  <si>
    <t>level_5</t>
  </si>
  <si>
    <t>ccom2</t>
  </si>
  <si>
    <t>ccom1</t>
    <phoneticPr fontId="45" type="noConversion"/>
  </si>
  <si>
    <t>ccom3</t>
  </si>
  <si>
    <t>ccom4</t>
  </si>
  <si>
    <t>병원 정보 코드(pk)</t>
    <phoneticPr fontId="45" type="noConversion"/>
  </si>
  <si>
    <t>문의 카테고리</t>
    <phoneticPr fontId="45" type="noConversion"/>
  </si>
  <si>
    <t>qcte1</t>
    <phoneticPr fontId="45" type="noConversion"/>
  </si>
  <si>
    <t>qcte2</t>
  </si>
  <si>
    <t>qcte3</t>
  </si>
  <si>
    <t>qcte4</t>
  </si>
  <si>
    <t>qcte5</t>
  </si>
  <si>
    <t>qcte6</t>
  </si>
  <si>
    <t>qcte7</t>
  </si>
  <si>
    <t>qcte8</t>
  </si>
  <si>
    <t>qcte9</t>
  </si>
  <si>
    <t>qcte10</t>
  </si>
  <si>
    <t>qcte11</t>
  </si>
  <si>
    <t>qcte12</t>
  </si>
  <si>
    <t>qcte13</t>
  </si>
  <si>
    <t>qcte14</t>
  </si>
  <si>
    <t>기타 문의</t>
    <phoneticPr fontId="45" type="noConversion"/>
  </si>
  <si>
    <t>Questions_catego</t>
    <phoneticPr fontId="45" type="noConversion"/>
  </si>
  <si>
    <t>문의 번호(pk)</t>
    <phoneticPr fontId="45" type="noConversion"/>
  </si>
  <si>
    <t>문의글 종류</t>
    <phoneticPr fontId="45" type="noConversion"/>
  </si>
  <si>
    <t>qcte_kind</t>
    <phoneticPr fontId="45" type="noConversion"/>
  </si>
  <si>
    <t>qcte_num</t>
    <phoneticPr fontId="45" type="noConversion"/>
  </si>
  <si>
    <t xml:space="preserve"> 문의 종류 번호(fk)</t>
    <phoneticPr fontId="45" type="noConversion"/>
  </si>
  <si>
    <t>ques_cte(qcte_num)</t>
    <phoneticPr fontId="45" type="noConversion"/>
  </si>
  <si>
    <t>010-0000-0000</t>
    <phoneticPr fontId="45" type="noConversion"/>
  </si>
  <si>
    <t>010-0000-1</t>
    <phoneticPr fontId="45" type="noConversion"/>
  </si>
  <si>
    <t>010-0000-2</t>
    <phoneticPr fontId="45" type="noConversion"/>
  </si>
  <si>
    <t>-------------</t>
    <phoneticPr fontId="4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</si>
</sst>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yyyy/m/d"/>
    <numFmt numFmtId="177" formatCode="mm&quot;월 &quot;dd&quot;일&quot;"/>
    <numFmt numFmtId="178" formatCode="_-* #,##0_-;\-* #,##0_-;_-* \-_-;_-@_-"/>
    <numFmt numFmtId="179" formatCode="0.0_);[Red]\(0.0\)"/>
    <numFmt numFmtId="180" formatCode="yyyy&quot;-&quot;m&quot;-&quot;d\ h:mm;@"/>
  </numFmts>
  <fonts count="60" x14ac:knownFonts="1">
    <font>
      <sz val="11"/>
      <color rgb="FF000000"/>
      <name val="맑은 고딕"/>
      <family val="2"/>
      <charset val="129"/>
    </font>
    <font>
      <sz val="11"/>
      <name val="돋움"/>
      <family val="3"/>
      <charset val="129"/>
    </font>
    <font>
      <b/>
      <sz val="12"/>
      <color rgb="FF000000"/>
      <name val="맑은 고딕"/>
      <family val="2"/>
      <charset val="129"/>
    </font>
    <font>
      <sz val="12"/>
      <color rgb="FF000000"/>
      <name val="맑은 고딕"/>
      <family val="3"/>
      <charset val="129"/>
    </font>
    <font>
      <b/>
      <sz val="20"/>
      <color rgb="FF000000"/>
      <name val="맑은 고딕"/>
      <family val="3"/>
      <charset val="129"/>
    </font>
    <font>
      <b/>
      <sz val="12"/>
      <color rgb="FF000000"/>
      <name val="맑은 고딕"/>
      <family val="3"/>
      <charset val="129"/>
    </font>
    <font>
      <sz val="11"/>
      <color rgb="FF000000"/>
      <name val="굴림"/>
      <family val="3"/>
      <charset val="129"/>
    </font>
    <font>
      <b/>
      <sz val="12"/>
      <color rgb="FF000000"/>
      <name val="굴림"/>
      <family val="3"/>
      <charset val="129"/>
    </font>
    <font>
      <b/>
      <sz val="14"/>
      <color rgb="FFFFFFFF"/>
      <name val="굴림"/>
      <family val="3"/>
      <charset val="129"/>
    </font>
    <font>
      <b/>
      <sz val="11"/>
      <color rgb="FF000000"/>
      <name val="굴림"/>
      <family val="3"/>
      <charset val="129"/>
    </font>
    <font>
      <sz val="11"/>
      <color rgb="FFD9D9D9"/>
      <name val="굴림"/>
      <family val="3"/>
      <charset val="129"/>
    </font>
    <font>
      <b/>
      <sz val="26"/>
      <name val="맑은 고딕"/>
      <family val="3"/>
      <charset val="129"/>
    </font>
    <font>
      <b/>
      <sz val="16"/>
      <color rgb="FFFFFF00"/>
      <name val="맑은 고딕"/>
      <family val="3"/>
      <charset val="129"/>
    </font>
    <font>
      <sz val="12"/>
      <color rgb="FF000000"/>
      <name val="굴림"/>
      <family val="3"/>
      <charset val="129"/>
    </font>
    <font>
      <b/>
      <sz val="20"/>
      <color rgb="FFFFFFFF"/>
      <name val="굴림"/>
      <family val="3"/>
      <charset val="129"/>
    </font>
    <font>
      <b/>
      <sz val="11"/>
      <color rgb="FFFFFFFF"/>
      <name val="굴림"/>
      <family val="3"/>
      <charset val="129"/>
    </font>
    <font>
      <b/>
      <sz val="14"/>
      <color rgb="FF000000"/>
      <name val="굴림"/>
      <family val="3"/>
      <charset val="129"/>
    </font>
    <font>
      <b/>
      <sz val="14"/>
      <color rgb="FF000000"/>
      <name val="맑은 고딕"/>
      <family val="3"/>
      <charset val="129"/>
    </font>
    <font>
      <sz val="16"/>
      <color rgb="FF000000"/>
      <name val="맑은 고딕"/>
      <family val="3"/>
      <charset val="129"/>
    </font>
    <font>
      <b/>
      <sz val="16"/>
      <color rgb="FF000000"/>
      <name val="맑은 고딕"/>
      <family val="3"/>
      <charset val="129"/>
    </font>
    <font>
      <b/>
      <sz val="26"/>
      <color rgb="FF000000"/>
      <name val="맑은 고딕"/>
      <family val="3"/>
      <charset val="129"/>
    </font>
    <font>
      <b/>
      <sz val="11"/>
      <color rgb="FF000000"/>
      <name val="맑은 고딕"/>
      <family val="3"/>
      <charset val="129"/>
    </font>
    <font>
      <sz val="11"/>
      <color rgb="FFFF0000"/>
      <name val="맑은 고딕"/>
      <family val="3"/>
      <charset val="129"/>
    </font>
    <font>
      <u/>
      <sz val="11"/>
      <color rgb="FF0000FF"/>
      <name val="맑은 고딕"/>
      <family val="2"/>
      <charset val="129"/>
    </font>
    <font>
      <sz val="11"/>
      <color rgb="FF333333"/>
      <name val="Arial"/>
      <family val="2"/>
    </font>
    <font>
      <b/>
      <sz val="11"/>
      <name val="맑은 고딕"/>
      <family val="3"/>
      <charset val="129"/>
    </font>
    <font>
      <sz val="11"/>
      <color rgb="FF1E1C11"/>
      <name val="맑은 고딕"/>
      <family val="2"/>
      <charset val="129"/>
    </font>
    <font>
      <sz val="11"/>
      <color rgb="FF000000"/>
      <name val="맑은 고딕"/>
      <family val="3"/>
      <charset val="129"/>
    </font>
    <font>
      <sz val="11"/>
      <name val="맑은 고딕"/>
      <family val="3"/>
      <charset val="129"/>
    </font>
    <font>
      <sz val="11"/>
      <color rgb="FF222225"/>
      <name val="맑은 고딕"/>
      <family val="3"/>
      <charset val="129"/>
    </font>
    <font>
      <sz val="11"/>
      <color rgb="FF222222"/>
      <name val="맑은 고딕"/>
      <family val="3"/>
      <charset val="129"/>
    </font>
    <font>
      <b/>
      <sz val="12"/>
      <color rgb="FFFF0000"/>
      <name val="맑은 고딕"/>
      <family val="3"/>
      <charset val="129"/>
    </font>
    <font>
      <b/>
      <sz val="11"/>
      <color rgb="FFFF0000"/>
      <name val="맑은 고딕"/>
      <family val="3"/>
      <charset val="129"/>
    </font>
    <font>
      <b/>
      <sz val="11"/>
      <color rgb="FF7030A0"/>
      <name val="맑은 고딕"/>
      <family val="3"/>
      <charset val="129"/>
    </font>
    <font>
      <b/>
      <sz val="12"/>
      <color rgb="FFE46C0A"/>
      <name val="맑은 고딕"/>
      <family val="3"/>
      <charset val="129"/>
    </font>
    <font>
      <b/>
      <sz val="11.5"/>
      <color rgb="FF000000"/>
      <name val="맑은 고딕"/>
      <family val="3"/>
      <charset val="129"/>
    </font>
    <font>
      <sz val="14"/>
      <color rgb="FF000000"/>
      <name val="맑은 고딕"/>
      <family val="2"/>
      <charset val="129"/>
    </font>
    <font>
      <sz val="14"/>
      <color rgb="FF000000"/>
      <name val="맑은 고딕"/>
      <family val="3"/>
      <charset val="129"/>
    </font>
    <font>
      <sz val="11"/>
      <color rgb="FFFF0000"/>
      <name val="맑은 고딕"/>
      <family val="2"/>
      <charset val="129"/>
    </font>
    <font>
      <b/>
      <sz val="13"/>
      <color rgb="FF000000"/>
      <name val="맑은 고딕"/>
      <family val="3"/>
      <charset val="129"/>
    </font>
    <font>
      <sz val="12"/>
      <color rgb="FF000000"/>
      <name val="맑은 고딕"/>
      <family val="2"/>
      <charset val="129"/>
    </font>
    <font>
      <sz val="12"/>
      <color rgb="FFFF0000"/>
      <name val="맑은 고딕"/>
      <family val="3"/>
      <charset val="129"/>
    </font>
    <font>
      <b/>
      <sz val="12"/>
      <name val="돋움"/>
      <family val="3"/>
      <charset val="129"/>
    </font>
    <font>
      <b/>
      <sz val="14"/>
      <name val="돋움"/>
      <family val="3"/>
      <charset val="129"/>
    </font>
    <font>
      <sz val="11"/>
      <color rgb="FF000000"/>
      <name val="맑은 고딕"/>
      <family val="2"/>
      <charset val="129"/>
    </font>
    <font>
      <sz val="8"/>
      <name val="맑은 고딕"/>
      <family val="2"/>
      <charset val="129"/>
    </font>
    <font>
      <b/>
      <sz val="11"/>
      <color theme="0"/>
      <name val="맑은 고딕"/>
      <family val="3"/>
      <charset val="129"/>
    </font>
    <font>
      <b/>
      <sz val="11"/>
      <name val="맑은 고딕"/>
      <family val="3"/>
      <charset val="129"/>
      <scheme val="minor"/>
    </font>
    <font>
      <sz val="8"/>
      <name val="맑은 고딕"/>
      <family val="2"/>
      <charset val="129"/>
      <scheme val="minor"/>
    </font>
    <font>
      <sz val="11"/>
      <color theme="1"/>
      <name val="맑은 고딕"/>
      <family val="3"/>
      <charset val="129"/>
      <scheme val="minor"/>
    </font>
    <font>
      <b/>
      <sz val="11"/>
      <color theme="1"/>
      <name val="맑은 고딕"/>
      <family val="3"/>
      <charset val="129"/>
      <scheme val="minor"/>
    </font>
    <font>
      <b/>
      <sz val="18"/>
      <color rgb="FF000000"/>
      <name val="맑은 고딕"/>
      <family val="3"/>
      <charset val="129"/>
    </font>
    <font>
      <sz val="11"/>
      <color theme="1"/>
      <name val="맑은 고딕"/>
      <family val="2"/>
      <charset val="129"/>
    </font>
    <font>
      <b/>
      <sz val="9"/>
      <color indexed="81"/>
      <name val="Tahoma"/>
      <family val="2"/>
    </font>
    <font>
      <b/>
      <sz val="9"/>
      <color indexed="81"/>
      <name val="돋움"/>
      <family val="3"/>
      <charset val="129"/>
    </font>
    <font>
      <b/>
      <sz val="11"/>
      <color theme="1"/>
      <name val="맑은 고딕"/>
      <family val="3"/>
      <charset val="129"/>
    </font>
    <font>
      <sz val="11"/>
      <color theme="1"/>
      <name val="맑은 고딕"/>
      <family val="3"/>
      <charset val="129"/>
    </font>
    <font>
      <b/>
      <sz val="11"/>
      <color rgb="FF000000"/>
      <name val="맑은 고딕"/>
      <family val="2"/>
      <charset val="129"/>
    </font>
    <font>
      <b/>
      <sz val="11"/>
      <name val="맑은 고딕"/>
      <family val="2"/>
      <charset val="129"/>
    </font>
    <font>
      <sz val="11"/>
      <color theme="0"/>
      <name val="맑은 고딕"/>
      <family val="3"/>
      <charset val="129"/>
    </font>
  </fonts>
  <fills count="41">
    <fill>
      <patternFill patternType="none"/>
    </fill>
    <fill>
      <patternFill patternType="gray125"/>
    </fill>
    <fill>
      <patternFill patternType="solid">
        <fgColor rgb="FF93CDDD"/>
        <bgColor rgb="FF92CDDD"/>
      </patternFill>
    </fill>
    <fill>
      <patternFill patternType="solid">
        <fgColor rgb="FFFFFFFF"/>
        <bgColor rgb="FFEEECE1"/>
      </patternFill>
    </fill>
    <fill>
      <patternFill patternType="solid">
        <fgColor rgb="FF8EB4E3"/>
        <bgColor rgb="FF92CDDD"/>
      </patternFill>
    </fill>
    <fill>
      <patternFill patternType="solid">
        <fgColor rgb="FFDBEEF4"/>
        <bgColor rgb="FFDCE6F2"/>
      </patternFill>
    </fill>
    <fill>
      <patternFill patternType="solid">
        <fgColor rgb="FFFFFF00"/>
        <bgColor rgb="FFFFF200"/>
      </patternFill>
    </fill>
    <fill>
      <patternFill patternType="solid">
        <fgColor rgb="FF31859C"/>
        <bgColor rgb="FF008080"/>
      </patternFill>
    </fill>
    <fill>
      <patternFill patternType="solid">
        <fgColor rgb="FFC6D9F1"/>
        <bgColor rgb="FFB7DEE8"/>
      </patternFill>
    </fill>
    <fill>
      <patternFill patternType="solid">
        <fgColor rgb="FFDCE6F2"/>
        <bgColor rgb="FFDBEEF4"/>
      </patternFill>
    </fill>
    <fill>
      <patternFill patternType="solid">
        <fgColor rgb="FFB7DEE8"/>
        <bgColor rgb="FFC6D9F1"/>
      </patternFill>
    </fill>
    <fill>
      <patternFill patternType="solid">
        <fgColor rgb="FFD9D9D9"/>
        <bgColor rgb="FFDCE6F2"/>
      </patternFill>
    </fill>
    <fill>
      <patternFill patternType="solid">
        <fgColor rgb="FFFCD5B5"/>
        <bgColor rgb="FFFAC090"/>
      </patternFill>
    </fill>
    <fill>
      <patternFill patternType="solid">
        <fgColor rgb="FFE46C0A"/>
        <bgColor rgb="FFFF4500"/>
      </patternFill>
    </fill>
    <fill>
      <patternFill patternType="solid">
        <fgColor rgb="FFFAC090"/>
        <bgColor rgb="FFFCD5B5"/>
      </patternFill>
    </fill>
    <fill>
      <patternFill patternType="solid">
        <fgColor rgb="FFC3D69B"/>
        <bgColor rgb="FFD9D9D9"/>
      </patternFill>
    </fill>
    <fill>
      <patternFill patternType="solid">
        <fgColor rgb="FF948A54"/>
        <bgColor rgb="FF808000"/>
      </patternFill>
    </fill>
    <fill>
      <patternFill patternType="solid">
        <fgColor rgb="FF92CDDD"/>
        <bgColor rgb="FF93CDDD"/>
      </patternFill>
    </fill>
    <fill>
      <patternFill patternType="solid">
        <fgColor rgb="FFB9CDE5"/>
        <bgColor rgb="FFC6D9F1"/>
      </patternFill>
    </fill>
    <fill>
      <patternFill patternType="solid">
        <fgColor rgb="FFFFC000"/>
        <bgColor rgb="FFFF9900"/>
      </patternFill>
    </fill>
    <fill>
      <patternFill patternType="solid">
        <fgColor rgb="FFB3A2C7"/>
        <bgColor rgb="FFA6A6A6"/>
      </patternFill>
    </fill>
    <fill>
      <patternFill patternType="solid">
        <fgColor theme="9" tint="0.59999389629810485"/>
        <bgColor rgb="FFEEECE1"/>
      </patternFill>
    </fill>
    <fill>
      <patternFill patternType="solid">
        <fgColor theme="0"/>
        <bgColor indexed="64"/>
      </patternFill>
    </fill>
    <fill>
      <patternFill patternType="solid">
        <fgColor theme="9" tint="0.59999389629810485"/>
        <bgColor indexed="64"/>
      </patternFill>
    </fill>
    <fill>
      <patternFill patternType="solid">
        <fgColor theme="9" tint="0.59999389629810485"/>
        <bgColor rgb="FF31859C"/>
      </patternFill>
    </fill>
    <fill>
      <patternFill patternType="solid">
        <fgColor rgb="FFFAC090"/>
        <bgColor rgb="FFEEECE1"/>
      </patternFill>
    </fill>
    <fill>
      <patternFill patternType="solid">
        <fgColor rgb="FFC3D69B"/>
        <bgColor rgb="FFEEECE1"/>
      </patternFill>
    </fill>
    <fill>
      <patternFill patternType="solid">
        <fgColor rgb="FFFAC090"/>
        <bgColor rgb="FFD9D9D9"/>
      </patternFill>
    </fill>
    <fill>
      <patternFill patternType="solid">
        <fgColor rgb="FFC3D69B"/>
        <bgColor rgb="FFFCD5B5"/>
      </patternFill>
    </fill>
    <fill>
      <patternFill patternType="solid">
        <fgColor rgb="FFFAC090"/>
        <bgColor indexed="64"/>
      </patternFill>
    </fill>
    <fill>
      <patternFill patternType="solid">
        <fgColor rgb="FFB7DEE8"/>
        <bgColor indexed="64"/>
      </patternFill>
    </fill>
    <fill>
      <patternFill patternType="solid">
        <fgColor rgb="FFC3D69B"/>
        <bgColor indexed="64"/>
      </patternFill>
    </fill>
    <fill>
      <patternFill patternType="solid">
        <fgColor rgb="FFFAC090"/>
        <bgColor rgb="FFDCE6F2"/>
      </patternFill>
    </fill>
    <fill>
      <patternFill patternType="solid">
        <fgColor rgb="FFB7DEE8"/>
        <bgColor rgb="FFFFF200"/>
      </patternFill>
    </fill>
    <fill>
      <patternFill patternType="solid">
        <fgColor rgb="FF93CDDD"/>
        <bgColor indexed="64"/>
      </patternFill>
    </fill>
    <fill>
      <patternFill patternType="solid">
        <fgColor theme="5" tint="0.39997558519241921"/>
        <bgColor indexed="64"/>
      </patternFill>
    </fill>
    <fill>
      <patternFill patternType="solid">
        <fgColor rgb="FFFFFF00"/>
        <bgColor indexed="64"/>
      </patternFill>
    </fill>
    <fill>
      <patternFill patternType="solid">
        <fgColor rgb="FFFFFF00"/>
        <bgColor rgb="FFC6D9F1"/>
      </patternFill>
    </fill>
    <fill>
      <patternFill patternType="solid">
        <fgColor rgb="FFFFFF00"/>
        <bgColor rgb="FFEEECE1"/>
      </patternFill>
    </fill>
    <fill>
      <patternFill patternType="solid">
        <fgColor rgb="FFFFFF00"/>
        <bgColor rgb="FFB3A2C7"/>
      </patternFill>
    </fill>
    <fill>
      <patternFill patternType="solid">
        <fgColor rgb="FFC3D69B"/>
        <bgColor rgb="FF31859C"/>
      </patternFill>
    </fill>
  </fills>
  <borders count="59">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diagonal/>
    </border>
    <border>
      <left style="thin">
        <color auto="1"/>
      </left>
      <right style="medium">
        <color auto="1"/>
      </right>
      <top/>
      <bottom style="medium">
        <color auto="1"/>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diagonal/>
    </border>
    <border>
      <left style="medium">
        <color auto="1"/>
      </left>
      <right style="medium">
        <color auto="1"/>
      </right>
      <top/>
      <bottom/>
      <diagonal/>
    </border>
    <border>
      <left style="medium">
        <color auto="1"/>
      </left>
      <right/>
      <top/>
      <bottom/>
      <diagonal/>
    </border>
    <border>
      <left style="medium">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medium">
        <color auto="1"/>
      </left>
      <right style="medium">
        <color auto="1"/>
      </right>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style="medium">
        <color auto="1"/>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style="thin">
        <color auto="1"/>
      </left>
      <right style="thin">
        <color auto="1"/>
      </right>
      <top/>
      <bottom/>
      <diagonal/>
    </border>
    <border>
      <left style="thin">
        <color auto="1"/>
      </left>
      <right style="double">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medium">
        <color auto="1"/>
      </left>
      <right/>
      <top style="thin">
        <color auto="1"/>
      </top>
      <bottom style="double">
        <color auto="1"/>
      </bottom>
      <diagonal/>
    </border>
    <border>
      <left/>
      <right/>
      <top style="thin">
        <color auto="1"/>
      </top>
      <bottom style="double">
        <color auto="1"/>
      </bottom>
      <diagonal/>
    </border>
    <border>
      <left/>
      <right style="medium">
        <color auto="1"/>
      </right>
      <top style="thin">
        <color auto="1"/>
      </top>
      <bottom style="double">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thin">
        <color auto="1"/>
      </left>
      <right/>
      <top style="thin">
        <color auto="1"/>
      </top>
      <bottom style="thin">
        <color auto="1"/>
      </bottom>
      <diagonal/>
    </border>
  </borders>
  <cellStyleXfs count="3">
    <xf numFmtId="0" fontId="0" fillId="0" borderId="0">
      <alignment vertical="center"/>
    </xf>
    <xf numFmtId="0" fontId="23" fillId="0" borderId="0" applyBorder="0" applyProtection="0">
      <alignment vertical="center"/>
    </xf>
    <xf numFmtId="178" fontId="44" fillId="0" borderId="0" applyBorder="0" applyProtection="0">
      <alignment vertical="center"/>
    </xf>
  </cellStyleXfs>
  <cellXfs count="466">
    <xf numFmtId="0" fontId="0" fillId="0" borderId="0" xfId="0">
      <alignment vertical="center"/>
    </xf>
    <xf numFmtId="0" fontId="2" fillId="2" borderId="5" xfId="0" applyFont="1" applyFill="1" applyBorder="1" applyAlignment="1">
      <alignment horizontal="center" vertical="center"/>
    </xf>
    <xf numFmtId="0" fontId="2" fillId="2" borderId="2" xfId="0" applyFont="1" applyFill="1" applyBorder="1" applyAlignment="1">
      <alignment horizontal="center" vertical="center"/>
    </xf>
    <xf numFmtId="0" fontId="5" fillId="5" borderId="1" xfId="0" applyFont="1" applyFill="1"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6" borderId="4" xfId="0" applyFill="1" applyBorder="1" applyAlignment="1">
      <alignment horizontal="center" vertical="center"/>
    </xf>
    <xf numFmtId="0" fontId="0" fillId="0" borderId="10" xfId="0" applyBorder="1" applyAlignment="1">
      <alignment horizontal="center" vertical="center"/>
    </xf>
    <xf numFmtId="0" fontId="6" fillId="0" borderId="0" xfId="0" applyFont="1">
      <alignment vertical="center"/>
    </xf>
    <xf numFmtId="0" fontId="0" fillId="0" borderId="18" xfId="0" applyBorder="1" applyAlignment="1">
      <alignment horizontal="center" vertical="center"/>
    </xf>
    <xf numFmtId="0" fontId="3" fillId="0" borderId="0" xfId="0" applyFont="1">
      <alignment vertical="center"/>
    </xf>
    <xf numFmtId="0" fontId="0" fillId="0" borderId="0" xfId="0" applyAlignment="1">
      <alignment horizontal="left" vertical="center"/>
    </xf>
    <xf numFmtId="177" fontId="0" fillId="0" borderId="0" xfId="0" applyNumberFormat="1">
      <alignment vertical="center"/>
    </xf>
    <xf numFmtId="0" fontId="0" fillId="12" borderId="0" xfId="0" applyFill="1">
      <alignment vertical="center"/>
    </xf>
    <xf numFmtId="0" fontId="0" fillId="0" borderId="0" xfId="0" applyAlignment="1">
      <alignment horizontal="center" vertical="center"/>
    </xf>
    <xf numFmtId="0" fontId="0" fillId="13" borderId="0" xfId="0" applyFill="1">
      <alignment vertical="center"/>
    </xf>
    <xf numFmtId="0" fontId="0" fillId="7" borderId="0" xfId="0" applyFill="1">
      <alignment vertical="center"/>
    </xf>
    <xf numFmtId="0" fontId="0" fillId="11" borderId="0" xfId="0" applyFill="1">
      <alignment vertical="center"/>
    </xf>
    <xf numFmtId="0" fontId="3" fillId="0" borderId="0" xfId="0" applyFont="1" applyAlignment="1">
      <alignment horizontal="center" vertical="center"/>
    </xf>
    <xf numFmtId="49" fontId="0" fillId="0" borderId="5" xfId="0" applyNumberFormat="1" applyBorder="1" applyAlignment="1">
      <alignment horizontal="center" vertical="center"/>
    </xf>
    <xf numFmtId="176" fontId="0" fillId="0" borderId="5" xfId="0" applyNumberFormat="1" applyBorder="1" applyAlignment="1">
      <alignment horizontal="center" vertical="center"/>
    </xf>
    <xf numFmtId="9" fontId="0" fillId="0" borderId="5" xfId="0" applyNumberFormat="1" applyBorder="1" applyAlignment="1">
      <alignment horizontal="center" vertical="center"/>
    </xf>
    <xf numFmtId="49" fontId="22" fillId="0" borderId="5" xfId="0" applyNumberFormat="1" applyFont="1" applyBorder="1" applyAlignment="1">
      <alignment horizontal="center" vertical="center"/>
    </xf>
    <xf numFmtId="49" fontId="27" fillId="0" borderId="5" xfId="0" applyNumberFormat="1" applyFont="1" applyBorder="1" applyAlignment="1">
      <alignment horizontal="center" vertical="center"/>
    </xf>
    <xf numFmtId="0" fontId="0" fillId="0" borderId="34" xfId="0" applyBorder="1">
      <alignment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13" xfId="0" applyBorder="1" applyAlignment="1">
      <alignment horizontal="center" vertical="center"/>
    </xf>
    <xf numFmtId="0" fontId="21" fillId="0" borderId="0" xfId="0" applyFont="1" applyAlignment="1">
      <alignment horizontal="left" vertical="center" indent="2"/>
    </xf>
    <xf numFmtId="0" fontId="0" fillId="5" borderId="1" xfId="0" applyFill="1" applyBorder="1" applyAlignment="1">
      <alignment horizontal="center" vertical="center"/>
    </xf>
    <xf numFmtId="0" fontId="21" fillId="18" borderId="1" xfId="0" applyFont="1" applyFill="1" applyBorder="1" applyAlignment="1">
      <alignment horizontal="center" vertical="center"/>
    </xf>
    <xf numFmtId="0" fontId="21" fillId="18" borderId="2" xfId="0" applyFont="1" applyFill="1" applyBorder="1" applyAlignment="1">
      <alignment horizontal="center" vertical="center" wrapText="1"/>
    </xf>
    <xf numFmtId="0" fontId="5" fillId="5" borderId="5" xfId="0" applyFont="1" applyFill="1" applyBorder="1" applyAlignment="1">
      <alignment horizontal="center" vertical="center"/>
    </xf>
    <xf numFmtId="0" fontId="0" fillId="0" borderId="23" xfId="0" applyBorder="1" applyAlignment="1">
      <alignment horizontal="center" vertical="center"/>
    </xf>
    <xf numFmtId="0" fontId="35" fillId="5" borderId="35" xfId="0" applyFont="1" applyFill="1" applyBorder="1" applyAlignment="1">
      <alignment horizontal="center" vertical="center"/>
    </xf>
    <xf numFmtId="0" fontId="35" fillId="5" borderId="36" xfId="0" applyFont="1" applyFill="1" applyBorder="1" applyAlignment="1">
      <alignment horizontal="center" vertical="center"/>
    </xf>
    <xf numFmtId="0" fontId="0" fillId="0" borderId="0" xfId="0" applyAlignment="1">
      <alignment horizontal="left" vertical="center" indent="2"/>
    </xf>
    <xf numFmtId="0" fontId="0" fillId="0" borderId="29" xfId="0" applyBorder="1">
      <alignment vertical="center"/>
    </xf>
    <xf numFmtId="0" fontId="27" fillId="0" borderId="45" xfId="0" applyFont="1" applyBorder="1">
      <alignment vertical="center"/>
    </xf>
    <xf numFmtId="0" fontId="0" fillId="0" borderId="46" xfId="0" applyBorder="1">
      <alignment vertical="center"/>
    </xf>
    <xf numFmtId="0" fontId="27" fillId="3" borderId="42" xfId="0" applyFont="1" applyFill="1" applyBorder="1">
      <alignment vertical="center"/>
    </xf>
    <xf numFmtId="0" fontId="0" fillId="3" borderId="43" xfId="0" applyFill="1" applyBorder="1" applyAlignment="1">
      <alignment horizontal="center" vertical="center"/>
    </xf>
    <xf numFmtId="0" fontId="0" fillId="3" borderId="34" xfId="0" applyFill="1" applyBorder="1">
      <alignment vertical="center"/>
    </xf>
    <xf numFmtId="0" fontId="0" fillId="3" borderId="47" xfId="0" applyFill="1" applyBorder="1">
      <alignment vertical="center"/>
    </xf>
    <xf numFmtId="0" fontId="0" fillId="3" borderId="25" xfId="0" applyFill="1" applyBorder="1">
      <alignment vertical="center"/>
    </xf>
    <xf numFmtId="0" fontId="0" fillId="3" borderId="32" xfId="0" applyFill="1" applyBorder="1" applyAlignment="1">
      <alignment horizontal="center" vertical="center"/>
    </xf>
    <xf numFmtId="0" fontId="0" fillId="3" borderId="25" xfId="0" applyFill="1" applyBorder="1" applyAlignment="1">
      <alignment horizontal="center" vertical="center"/>
    </xf>
    <xf numFmtId="0" fontId="0" fillId="3" borderId="46" xfId="0" applyFill="1" applyBorder="1">
      <alignment vertical="center"/>
    </xf>
    <xf numFmtId="0" fontId="0" fillId="3" borderId="23" xfId="0" applyFill="1" applyBorder="1">
      <alignment vertical="center"/>
    </xf>
    <xf numFmtId="0" fontId="0" fillId="0" borderId="30" xfId="0" applyBorder="1">
      <alignment vertical="center"/>
    </xf>
    <xf numFmtId="0" fontId="27" fillId="0" borderId="34" xfId="0" applyFont="1" applyBorder="1" applyAlignment="1">
      <alignment horizontal="left" vertical="center"/>
    </xf>
    <xf numFmtId="0" fontId="27" fillId="0" borderId="0" xfId="0" applyFont="1" applyAlignment="1">
      <alignment horizontal="left" vertical="center"/>
    </xf>
    <xf numFmtId="0" fontId="0" fillId="3" borderId="49" xfId="0" applyFill="1" applyBorder="1">
      <alignment vertical="center"/>
    </xf>
    <xf numFmtId="0" fontId="0" fillId="3" borderId="0" xfId="0" applyFill="1">
      <alignment vertical="center"/>
    </xf>
    <xf numFmtId="0" fontId="0" fillId="3" borderId="50" xfId="0" applyFill="1" applyBorder="1">
      <alignment vertical="center"/>
    </xf>
    <xf numFmtId="0" fontId="0" fillId="3" borderId="51" xfId="0" applyFill="1" applyBorder="1">
      <alignment vertical="center"/>
    </xf>
    <xf numFmtId="0" fontId="0" fillId="0" borderId="31" xfId="0" applyBorder="1">
      <alignment vertical="center"/>
    </xf>
    <xf numFmtId="0" fontId="5" fillId="5" borderId="4" xfId="0" applyFont="1" applyFill="1" applyBorder="1" applyAlignment="1">
      <alignment horizontal="center" vertical="center"/>
    </xf>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3" fillId="0" borderId="32" xfId="0" applyFont="1" applyBorder="1" applyAlignment="1">
      <alignment horizontal="center" vertical="center"/>
    </xf>
    <xf numFmtId="0" fontId="42" fillId="2" borderId="1" xfId="2" applyNumberFormat="1" applyFont="1" applyFill="1" applyBorder="1" applyAlignment="1">
      <alignment horizontal="center" vertical="center"/>
    </xf>
    <xf numFmtId="0" fontId="1" fillId="0" borderId="4" xfId="2" applyNumberFormat="1" applyFont="1" applyBorder="1" applyAlignment="1">
      <alignment horizontal="center" vertical="center"/>
    </xf>
    <xf numFmtId="0" fontId="1" fillId="0" borderId="13" xfId="2" applyNumberFormat="1" applyFont="1" applyBorder="1" applyAlignment="1">
      <alignment horizontal="center" vertical="center"/>
    </xf>
    <xf numFmtId="0" fontId="5" fillId="5" borderId="5" xfId="0" applyFont="1" applyFill="1" applyBorder="1" applyAlignment="1">
      <alignment horizontal="center" vertical="center" wrapText="1"/>
    </xf>
    <xf numFmtId="0" fontId="17" fillId="0" borderId="0" xfId="0" applyFont="1" applyAlignment="1">
      <alignment horizontal="left" vertical="center" indent="2"/>
    </xf>
    <xf numFmtId="0" fontId="0" fillId="3" borderId="45" xfId="0" applyFill="1" applyBorder="1">
      <alignment vertical="center"/>
    </xf>
    <xf numFmtId="0" fontId="0" fillId="3" borderId="27" xfId="0" applyFill="1" applyBorder="1">
      <alignment vertical="center"/>
    </xf>
    <xf numFmtId="0" fontId="0" fillId="3" borderId="28" xfId="0" applyFill="1" applyBorder="1">
      <alignment vertical="center"/>
    </xf>
    <xf numFmtId="0" fontId="5" fillId="2" borderId="5" xfId="0" applyFont="1" applyFill="1" applyBorder="1" applyAlignment="1">
      <alignment horizontal="center" vertical="center"/>
    </xf>
    <xf numFmtId="0" fontId="5" fillId="2" borderId="5"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0" fillId="3" borderId="52" xfId="0" applyFill="1" applyBorder="1">
      <alignment vertical="center"/>
    </xf>
    <xf numFmtId="0" fontId="0" fillId="3" borderId="53" xfId="0" applyFill="1" applyBorder="1">
      <alignment vertical="center"/>
    </xf>
    <xf numFmtId="0" fontId="0" fillId="3" borderId="54" xfId="0" applyFill="1" applyBorder="1">
      <alignment vertical="center"/>
    </xf>
    <xf numFmtId="0" fontId="0" fillId="3" borderId="29" xfId="0" applyFill="1" applyBorder="1">
      <alignment vertical="center"/>
    </xf>
    <xf numFmtId="0" fontId="0" fillId="0" borderId="55" xfId="0" applyBorder="1" applyAlignment="1">
      <alignment horizontal="center" vertical="center"/>
    </xf>
    <xf numFmtId="0" fontId="0" fillId="0" borderId="56" xfId="0" applyBorder="1" applyAlignment="1">
      <alignment horizontal="center" vertical="center"/>
    </xf>
    <xf numFmtId="176" fontId="0" fillId="0" borderId="56" xfId="0" applyNumberFormat="1" applyBorder="1" applyAlignment="1">
      <alignment horizontal="center" vertical="center"/>
    </xf>
    <xf numFmtId="9" fontId="0" fillId="0" borderId="56" xfId="0" applyNumberFormat="1" applyBorder="1" applyAlignment="1">
      <alignment horizontal="center" vertical="center"/>
    </xf>
    <xf numFmtId="0" fontId="0" fillId="0" borderId="57" xfId="0" applyBorder="1" applyAlignment="1">
      <alignment horizontal="center" vertical="center"/>
    </xf>
    <xf numFmtId="176" fontId="0" fillId="0" borderId="23" xfId="0" applyNumberFormat="1" applyBorder="1" applyAlignment="1">
      <alignment horizontal="center" vertical="center"/>
    </xf>
    <xf numFmtId="9" fontId="0" fillId="0" borderId="23" xfId="0" applyNumberFormat="1" applyBorder="1" applyAlignment="1">
      <alignment horizontal="center" vertical="center"/>
    </xf>
    <xf numFmtId="0" fontId="0" fillId="3" borderId="30" xfId="0" applyFill="1" applyBorder="1">
      <alignment vertical="center"/>
    </xf>
    <xf numFmtId="0" fontId="0" fillId="3" borderId="31" xfId="0" applyFill="1" applyBorder="1">
      <alignment vertical="center"/>
    </xf>
    <xf numFmtId="14" fontId="0" fillId="0" borderId="5" xfId="0" applyNumberFormat="1" applyBorder="1" applyAlignment="1">
      <alignment horizontal="center" vertical="center"/>
    </xf>
    <xf numFmtId="49" fontId="0" fillId="0" borderId="0" xfId="0" applyNumberFormat="1" applyAlignment="1">
      <alignment horizontal="center" vertical="center"/>
    </xf>
    <xf numFmtId="49" fontId="18" fillId="0" borderId="0" xfId="0" applyNumberFormat="1" applyFont="1" applyAlignment="1">
      <alignment horizontal="center" vertical="center"/>
    </xf>
    <xf numFmtId="49" fontId="0" fillId="0" borderId="0" xfId="0" applyNumberFormat="1">
      <alignment vertical="center"/>
    </xf>
    <xf numFmtId="49" fontId="20" fillId="4" borderId="27" xfId="0" applyNumberFormat="1" applyFont="1" applyFill="1" applyBorder="1">
      <alignment vertical="center"/>
    </xf>
    <xf numFmtId="49" fontId="20" fillId="4" borderId="28" xfId="0" applyNumberFormat="1" applyFont="1" applyFill="1" applyBorder="1">
      <alignment vertical="center"/>
    </xf>
    <xf numFmtId="49" fontId="20" fillId="4" borderId="0" xfId="0" applyNumberFormat="1" applyFont="1" applyFill="1">
      <alignment vertical="center"/>
    </xf>
    <xf numFmtId="49" fontId="20" fillId="4" borderId="29" xfId="0" applyNumberFormat="1" applyFont="1" applyFill="1" applyBorder="1">
      <alignment vertical="center"/>
    </xf>
    <xf numFmtId="49" fontId="20" fillId="4" borderId="30" xfId="0" applyNumberFormat="1" applyFont="1" applyFill="1" applyBorder="1">
      <alignment vertical="center"/>
    </xf>
    <xf numFmtId="49" fontId="20" fillId="4" borderId="31" xfId="0" applyNumberFormat="1" applyFont="1" applyFill="1" applyBorder="1">
      <alignment vertical="center"/>
    </xf>
    <xf numFmtId="49" fontId="21" fillId="14" borderId="0" xfId="0" applyNumberFormat="1" applyFont="1" applyFill="1" applyAlignment="1">
      <alignment horizontal="center" vertical="center"/>
    </xf>
    <xf numFmtId="49" fontId="21" fillId="2" borderId="0" xfId="0" applyNumberFormat="1" applyFont="1" applyFill="1" applyAlignment="1">
      <alignment horizontal="center" vertical="center"/>
    </xf>
    <xf numFmtId="49" fontId="21" fillId="15" borderId="0" xfId="0" applyNumberFormat="1" applyFont="1" applyFill="1" applyAlignment="1">
      <alignment horizontal="center" vertical="center"/>
    </xf>
    <xf numFmtId="49" fontId="21" fillId="16" borderId="0" xfId="0" applyNumberFormat="1" applyFont="1" applyFill="1" applyAlignment="1">
      <alignment horizontal="center" vertical="center"/>
    </xf>
    <xf numFmtId="49" fontId="19" fillId="0" borderId="0" xfId="0" applyNumberFormat="1" applyFont="1" applyAlignment="1">
      <alignment horizontal="center" vertical="center"/>
    </xf>
    <xf numFmtId="49" fontId="51" fillId="0" borderId="0" xfId="0" applyNumberFormat="1" applyFont="1" applyAlignment="1">
      <alignment horizontal="center" vertical="center"/>
    </xf>
    <xf numFmtId="49" fontId="3" fillId="0" borderId="0" xfId="0" applyNumberFormat="1" applyFont="1" applyAlignment="1">
      <alignment horizontal="center" vertical="center"/>
    </xf>
    <xf numFmtId="49" fontId="21" fillId="17" borderId="32" xfId="0" applyNumberFormat="1" applyFont="1" applyFill="1" applyBorder="1" applyAlignment="1">
      <alignment horizontal="center" vertical="center"/>
    </xf>
    <xf numFmtId="49" fontId="0" fillId="0" borderId="32" xfId="0" applyNumberFormat="1" applyBorder="1" applyAlignment="1">
      <alignment horizontal="center" vertical="center"/>
    </xf>
    <xf numFmtId="49" fontId="21" fillId="10" borderId="5" xfId="0" applyNumberFormat="1" applyFont="1" applyFill="1" applyBorder="1" applyAlignment="1">
      <alignment horizontal="center" vertical="center"/>
    </xf>
    <xf numFmtId="49" fontId="21" fillId="14" borderId="5" xfId="0" applyNumberFormat="1" applyFont="1" applyFill="1" applyBorder="1" applyAlignment="1">
      <alignment horizontal="center" vertical="center"/>
    </xf>
    <xf numFmtId="49" fontId="21" fillId="3" borderId="5" xfId="0" applyNumberFormat="1" applyFont="1" applyFill="1" applyBorder="1" applyAlignment="1">
      <alignment horizontal="center" vertical="center"/>
    </xf>
    <xf numFmtId="49" fontId="21" fillId="15" borderId="5" xfId="0" applyNumberFormat="1" applyFont="1" applyFill="1" applyBorder="1" applyAlignment="1">
      <alignment horizontal="center" vertical="center"/>
    </xf>
    <xf numFmtId="49" fontId="21" fillId="0" borderId="5" xfId="0" applyNumberFormat="1" applyFont="1" applyBorder="1" applyAlignment="1">
      <alignment horizontal="center" vertical="center"/>
    </xf>
    <xf numFmtId="49" fontId="23" fillId="0" borderId="5" xfId="1" applyNumberFormat="1" applyBorder="1" applyAlignment="1" applyProtection="1">
      <alignment horizontal="center" vertical="center"/>
    </xf>
    <xf numFmtId="49" fontId="21" fillId="30" borderId="5" xfId="0" applyNumberFormat="1" applyFont="1" applyFill="1" applyBorder="1" applyAlignment="1">
      <alignment horizontal="center" vertical="center"/>
    </xf>
    <xf numFmtId="49" fontId="21" fillId="29" borderId="5" xfId="0" applyNumberFormat="1" applyFont="1" applyFill="1" applyBorder="1" applyAlignment="1">
      <alignment horizontal="center" vertical="center"/>
    </xf>
    <xf numFmtId="49" fontId="21" fillId="28" borderId="5" xfId="0" applyNumberFormat="1" applyFont="1" applyFill="1" applyBorder="1" applyAlignment="1">
      <alignment horizontal="center" vertical="center"/>
    </xf>
    <xf numFmtId="49" fontId="21" fillId="26" borderId="5" xfId="0" applyNumberFormat="1" applyFont="1" applyFill="1" applyBorder="1" applyAlignment="1">
      <alignment horizontal="center" vertical="center"/>
    </xf>
    <xf numFmtId="49" fontId="21" fillId="27" borderId="5" xfId="0" applyNumberFormat="1" applyFont="1" applyFill="1" applyBorder="1" applyAlignment="1">
      <alignment horizontal="center" vertical="center"/>
    </xf>
    <xf numFmtId="49" fontId="25" fillId="0" borderId="5" xfId="0" applyNumberFormat="1" applyFont="1" applyBorder="1" applyAlignment="1">
      <alignment horizontal="center" vertical="center"/>
    </xf>
    <xf numFmtId="49" fontId="24" fillId="0" borderId="5" xfId="0" applyNumberFormat="1" applyFont="1" applyBorder="1">
      <alignment vertical="center"/>
    </xf>
    <xf numFmtId="49" fontId="21" fillId="0" borderId="0" xfId="0" applyNumberFormat="1" applyFont="1" applyAlignment="1">
      <alignment horizontal="center" vertical="center"/>
    </xf>
    <xf numFmtId="49" fontId="44" fillId="0" borderId="0" xfId="2" applyNumberFormat="1" applyBorder="1" applyAlignment="1" applyProtection="1">
      <alignment horizontal="center" vertical="center"/>
    </xf>
    <xf numFmtId="49" fontId="21" fillId="2" borderId="32" xfId="0" applyNumberFormat="1" applyFont="1" applyFill="1" applyBorder="1" applyAlignment="1">
      <alignment horizontal="center" vertical="center"/>
    </xf>
    <xf numFmtId="49" fontId="25" fillId="10" borderId="5" xfId="0" applyNumberFormat="1" applyFont="1" applyFill="1" applyBorder="1" applyAlignment="1">
      <alignment horizontal="center" vertical="center"/>
    </xf>
    <xf numFmtId="49" fontId="21" fillId="0" borderId="0" xfId="0" applyNumberFormat="1" applyFont="1">
      <alignment vertical="center"/>
    </xf>
    <xf numFmtId="49" fontId="25" fillId="14" borderId="5" xfId="0" applyNumberFormat="1" applyFont="1" applyFill="1" applyBorder="1" applyAlignment="1">
      <alignment horizontal="center" vertical="center"/>
    </xf>
    <xf numFmtId="49" fontId="25" fillId="3" borderId="5" xfId="0" applyNumberFormat="1" applyFont="1" applyFill="1" applyBorder="1" applyAlignment="1">
      <alignment horizontal="center" vertical="center"/>
    </xf>
    <xf numFmtId="49" fontId="21" fillId="0" borderId="49" xfId="0" applyNumberFormat="1" applyFont="1" applyBorder="1">
      <alignment vertical="center"/>
    </xf>
    <xf numFmtId="49" fontId="21" fillId="2" borderId="5" xfId="0" applyNumberFormat="1" applyFont="1" applyFill="1" applyBorder="1" applyAlignment="1">
      <alignment horizontal="center" vertical="center"/>
    </xf>
    <xf numFmtId="49" fontId="25" fillId="10" borderId="25" xfId="0" applyNumberFormat="1" applyFont="1" applyFill="1" applyBorder="1" applyAlignment="1">
      <alignment horizontal="center" vertical="center"/>
    </xf>
    <xf numFmtId="49" fontId="21" fillId="10" borderId="25" xfId="0" applyNumberFormat="1" applyFont="1" applyFill="1" applyBorder="1" applyAlignment="1">
      <alignment horizontal="center" vertical="center"/>
    </xf>
    <xf numFmtId="49" fontId="25" fillId="0" borderId="0" xfId="0" applyNumberFormat="1" applyFont="1" applyAlignment="1">
      <alignment horizontal="center" vertical="center"/>
    </xf>
    <xf numFmtId="49" fontId="26" fillId="0" borderId="5" xfId="0" applyNumberFormat="1" applyFont="1" applyBorder="1" applyAlignment="1">
      <alignment horizontal="center" vertical="center"/>
    </xf>
    <xf numFmtId="49" fontId="22" fillId="0" borderId="0" xfId="0" applyNumberFormat="1" applyFont="1" applyAlignment="1">
      <alignment horizontal="center" vertical="center"/>
    </xf>
    <xf numFmtId="49" fontId="26" fillId="0" borderId="0" xfId="0" applyNumberFormat="1" applyFont="1" applyAlignment="1">
      <alignment horizontal="center" vertical="center"/>
    </xf>
    <xf numFmtId="49" fontId="25" fillId="15" borderId="5" xfId="0" applyNumberFormat="1" applyFont="1" applyFill="1" applyBorder="1" applyAlignment="1">
      <alignment horizontal="center" vertical="center"/>
    </xf>
    <xf numFmtId="49" fontId="25" fillId="21" borderId="5" xfId="0" applyNumberFormat="1" applyFont="1" applyFill="1" applyBorder="1" applyAlignment="1">
      <alignment horizontal="center" vertical="center"/>
    </xf>
    <xf numFmtId="49" fontId="28" fillId="0" borderId="5" xfId="0" applyNumberFormat="1" applyFont="1" applyBorder="1" applyAlignment="1">
      <alignment horizontal="center" vertical="center"/>
    </xf>
    <xf numFmtId="49" fontId="28" fillId="3" borderId="5" xfId="0" applyNumberFormat="1" applyFont="1" applyFill="1" applyBorder="1" applyAlignment="1">
      <alignment horizontal="center" vertical="center"/>
    </xf>
    <xf numFmtId="49" fontId="22" fillId="3" borderId="0" xfId="0" applyNumberFormat="1" applyFont="1" applyFill="1" applyAlignment="1">
      <alignment horizontal="center" vertical="center"/>
    </xf>
    <xf numFmtId="49" fontId="27" fillId="0" borderId="0" xfId="0" applyNumberFormat="1" applyFont="1" applyAlignment="1">
      <alignment horizontal="center" vertical="center"/>
    </xf>
    <xf numFmtId="49" fontId="49" fillId="0" borderId="0" xfId="0" applyNumberFormat="1" applyFont="1" applyAlignment="1">
      <alignment horizontal="center" vertical="center"/>
    </xf>
    <xf numFmtId="49" fontId="47" fillId="0" borderId="5" xfId="0" applyNumberFormat="1" applyFont="1" applyBorder="1" applyAlignment="1">
      <alignment horizontal="center" vertical="center"/>
    </xf>
    <xf numFmtId="49" fontId="47" fillId="22" borderId="5" xfId="0" applyNumberFormat="1" applyFont="1" applyFill="1" applyBorder="1" applyAlignment="1">
      <alignment horizontal="center" vertical="center"/>
    </xf>
    <xf numFmtId="49" fontId="49" fillId="0" borderId="5" xfId="0" applyNumberFormat="1" applyFont="1" applyBorder="1" applyAlignment="1">
      <alignment horizontal="center" vertical="center"/>
    </xf>
    <xf numFmtId="49" fontId="52" fillId="0" borderId="0" xfId="0" applyNumberFormat="1" applyFont="1" applyAlignment="1">
      <alignment vertical="center" wrapText="1"/>
    </xf>
    <xf numFmtId="49" fontId="25" fillId="25" borderId="5" xfId="0" applyNumberFormat="1" applyFont="1" applyFill="1" applyBorder="1" applyAlignment="1">
      <alignment horizontal="center" vertical="center"/>
    </xf>
    <xf numFmtId="49" fontId="21" fillId="23" borderId="5" xfId="0" applyNumberFormat="1" applyFont="1" applyFill="1" applyBorder="1" applyAlignment="1">
      <alignment horizontal="center" vertical="center"/>
    </xf>
    <xf numFmtId="49" fontId="25" fillId="23" borderId="5" xfId="0" applyNumberFormat="1" applyFont="1" applyFill="1" applyBorder="1" applyAlignment="1">
      <alignment horizontal="center" vertical="center"/>
    </xf>
    <xf numFmtId="49" fontId="25" fillId="24" borderId="5" xfId="0" applyNumberFormat="1" applyFont="1" applyFill="1" applyBorder="1" applyAlignment="1">
      <alignment horizontal="center" vertical="center"/>
    </xf>
    <xf numFmtId="49" fontId="25" fillId="2" borderId="32" xfId="0" applyNumberFormat="1" applyFont="1" applyFill="1" applyBorder="1" applyAlignment="1">
      <alignment horizontal="center" vertical="center"/>
    </xf>
    <xf numFmtId="49" fontId="30" fillId="0" borderId="5" xfId="0" applyNumberFormat="1" applyFont="1" applyBorder="1" applyAlignment="1">
      <alignment horizontal="center" vertical="center"/>
    </xf>
    <xf numFmtId="49" fontId="21"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49" fontId="25" fillId="26" borderId="5" xfId="0" applyNumberFormat="1" applyFont="1" applyFill="1" applyBorder="1" applyAlignment="1">
      <alignment horizontal="center" vertical="center"/>
    </xf>
    <xf numFmtId="49" fontId="25" fillId="28" borderId="5" xfId="0" applyNumberFormat="1" applyFont="1" applyFill="1" applyBorder="1" applyAlignment="1">
      <alignment horizontal="center" vertical="center"/>
    </xf>
    <xf numFmtId="49" fontId="21" fillId="31" borderId="5" xfId="0" applyNumberFormat="1" applyFont="1" applyFill="1" applyBorder="1" applyAlignment="1">
      <alignment horizontal="center" vertical="center"/>
    </xf>
    <xf numFmtId="49" fontId="25" fillId="31" borderId="5" xfId="0" applyNumberFormat="1" applyFont="1" applyFill="1" applyBorder="1" applyAlignment="1">
      <alignment horizontal="center" vertical="center"/>
    </xf>
    <xf numFmtId="49" fontId="25" fillId="32" borderId="5" xfId="0" applyNumberFormat="1" applyFont="1" applyFill="1" applyBorder="1" applyAlignment="1">
      <alignment horizontal="center" vertical="center"/>
    </xf>
    <xf numFmtId="49" fontId="25" fillId="10" borderId="58" xfId="0" applyNumberFormat="1" applyFont="1" applyFill="1" applyBorder="1" applyAlignment="1">
      <alignment horizontal="center" vertical="center"/>
    </xf>
    <xf numFmtId="49" fontId="47" fillId="30" borderId="5" xfId="0" applyNumberFormat="1" applyFont="1" applyFill="1" applyBorder="1" applyAlignment="1">
      <alignment horizontal="center" vertical="center"/>
    </xf>
    <xf numFmtId="49" fontId="47" fillId="29" borderId="5" xfId="0" applyNumberFormat="1" applyFont="1" applyFill="1" applyBorder="1" applyAlignment="1">
      <alignment horizontal="center" vertical="center"/>
    </xf>
    <xf numFmtId="49" fontId="47" fillId="31" borderId="5" xfId="0" applyNumberFormat="1" applyFont="1" applyFill="1" applyBorder="1" applyAlignment="1">
      <alignment horizontal="center" vertical="center"/>
    </xf>
    <xf numFmtId="14" fontId="27" fillId="0" borderId="5" xfId="0" applyNumberFormat="1" applyFont="1" applyBorder="1" applyAlignment="1">
      <alignment horizontal="center" vertical="center"/>
    </xf>
    <xf numFmtId="49" fontId="50" fillId="30" borderId="5" xfId="0" applyNumberFormat="1" applyFont="1" applyFill="1" applyBorder="1" applyAlignment="1">
      <alignment horizontal="center" vertical="center"/>
    </xf>
    <xf numFmtId="180" fontId="0" fillId="0" borderId="5" xfId="0" applyNumberFormat="1" applyBorder="1" applyAlignment="1">
      <alignment horizontal="center" vertical="center"/>
    </xf>
    <xf numFmtId="49" fontId="21" fillId="33" borderId="5" xfId="0" applyNumberFormat="1" applyFont="1" applyFill="1" applyBorder="1" applyAlignment="1">
      <alignment horizontal="center" vertical="center"/>
    </xf>
    <xf numFmtId="49" fontId="21" fillId="10" borderId="40" xfId="0" applyNumberFormat="1" applyFont="1" applyFill="1" applyBorder="1" applyAlignment="1">
      <alignment horizontal="center" vertical="center"/>
    </xf>
    <xf numFmtId="49" fontId="25" fillId="3" borderId="40" xfId="0" applyNumberFormat="1" applyFont="1" applyFill="1" applyBorder="1" applyAlignment="1">
      <alignment horizontal="center" vertical="center"/>
    </xf>
    <xf numFmtId="49" fontId="44" fillId="0" borderId="40" xfId="2" applyNumberFormat="1" applyBorder="1" applyAlignment="1" applyProtection="1">
      <alignment horizontal="center" vertical="center"/>
    </xf>
    <xf numFmtId="49" fontId="55" fillId="10" borderId="5" xfId="0" applyNumberFormat="1" applyFont="1" applyFill="1" applyBorder="1" applyAlignment="1">
      <alignment horizontal="center" vertical="center"/>
    </xf>
    <xf numFmtId="49" fontId="55" fillId="30" borderId="5" xfId="0" applyNumberFormat="1" applyFont="1" applyFill="1" applyBorder="1" applyAlignment="1">
      <alignment horizontal="center" vertical="center"/>
    </xf>
    <xf numFmtId="49" fontId="55" fillId="33" borderId="25" xfId="0" applyNumberFormat="1" applyFont="1" applyFill="1" applyBorder="1" applyAlignment="1">
      <alignment horizontal="center" vertical="center"/>
    </xf>
    <xf numFmtId="49" fontId="56" fillId="0" borderId="5" xfId="0" applyNumberFormat="1" applyFont="1" applyBorder="1" applyAlignment="1">
      <alignment horizontal="center" vertical="center"/>
    </xf>
    <xf numFmtId="49" fontId="22" fillId="3" borderId="5" xfId="0" applyNumberFormat="1" applyFont="1" applyFill="1" applyBorder="1" applyAlignment="1">
      <alignment horizontal="center" vertical="center"/>
    </xf>
    <xf numFmtId="49" fontId="38" fillId="0" borderId="5" xfId="0" applyNumberFormat="1" applyFont="1" applyBorder="1" applyAlignment="1">
      <alignment horizontal="center" vertical="center"/>
    </xf>
    <xf numFmtId="49" fontId="0" fillId="0" borderId="0" xfId="2" applyNumberFormat="1" applyFont="1" applyBorder="1" applyAlignment="1" applyProtection="1">
      <alignment horizontal="center" vertical="center"/>
    </xf>
    <xf numFmtId="49" fontId="57" fillId="0" borderId="0" xfId="0" applyNumberFormat="1" applyFont="1" applyAlignment="1">
      <alignment horizontal="center" vertical="center"/>
    </xf>
    <xf numFmtId="49" fontId="58" fillId="0" borderId="0" xfId="0" applyNumberFormat="1" applyFont="1" applyAlignment="1">
      <alignment horizontal="center" vertical="center"/>
    </xf>
    <xf numFmtId="49" fontId="21" fillId="0" borderId="0" xfId="0" applyNumberFormat="1" applyFont="1" applyAlignment="1">
      <alignment horizontal="center" vertical="center" wrapText="1"/>
    </xf>
    <xf numFmtId="49" fontId="23" fillId="0" borderId="0" xfId="1" applyNumberFormat="1" applyBorder="1" applyAlignment="1" applyProtection="1">
      <alignment horizontal="center" vertical="center"/>
    </xf>
    <xf numFmtId="49" fontId="29" fillId="0" borderId="0" xfId="0" applyNumberFormat="1" applyFont="1" applyAlignment="1">
      <alignment horizontal="center" vertical="center"/>
    </xf>
    <xf numFmtId="49" fontId="50" fillId="34" borderId="32" xfId="0" applyNumberFormat="1" applyFont="1" applyFill="1" applyBorder="1" applyAlignment="1">
      <alignment horizontal="center" vertical="center"/>
    </xf>
    <xf numFmtId="49" fontId="19" fillId="2" borderId="1" xfId="0" applyNumberFormat="1" applyFont="1" applyFill="1" applyBorder="1">
      <alignment vertical="center"/>
    </xf>
    <xf numFmtId="49" fontId="18" fillId="0" borderId="2" xfId="0" applyNumberFormat="1" applyFont="1" applyBorder="1">
      <alignment vertical="center"/>
    </xf>
    <xf numFmtId="49" fontId="19" fillId="2" borderId="2" xfId="0" applyNumberFormat="1" applyFont="1" applyFill="1" applyBorder="1">
      <alignment vertical="center"/>
    </xf>
    <xf numFmtId="49" fontId="18" fillId="0" borderId="3" xfId="0" applyNumberFormat="1" applyFont="1" applyBorder="1">
      <alignment vertical="center"/>
    </xf>
    <xf numFmtId="49" fontId="19" fillId="2" borderId="4" xfId="0" applyNumberFormat="1" applyFont="1" applyFill="1" applyBorder="1">
      <alignment vertical="center"/>
    </xf>
    <xf numFmtId="49" fontId="18" fillId="0" borderId="5" xfId="0" applyNumberFormat="1" applyFont="1" applyBorder="1">
      <alignment vertical="center"/>
    </xf>
    <xf numFmtId="49" fontId="19" fillId="2" borderId="5" xfId="0" applyNumberFormat="1" applyFont="1" applyFill="1" applyBorder="1">
      <alignment vertical="center"/>
    </xf>
    <xf numFmtId="49" fontId="18" fillId="0" borderId="6" xfId="0" applyNumberFormat="1" applyFont="1" applyBorder="1">
      <alignment vertical="center"/>
    </xf>
    <xf numFmtId="49" fontId="19" fillId="2" borderId="12" xfId="0" applyNumberFormat="1" applyFont="1" applyFill="1" applyBorder="1">
      <alignment vertical="center"/>
    </xf>
    <xf numFmtId="49" fontId="18" fillId="0" borderId="8" xfId="0" applyNumberFormat="1" applyFont="1" applyBorder="1" applyAlignment="1">
      <alignment vertical="center" wrapText="1"/>
    </xf>
    <xf numFmtId="49" fontId="20" fillId="4" borderId="9" xfId="0" applyNumberFormat="1" applyFont="1" applyFill="1" applyBorder="1">
      <alignment vertical="center"/>
    </xf>
    <xf numFmtId="49" fontId="20" fillId="4" borderId="26" xfId="0" applyNumberFormat="1" applyFont="1" applyFill="1" applyBorder="1">
      <alignment vertical="center"/>
    </xf>
    <xf numFmtId="49" fontId="0" fillId="0" borderId="5" xfId="0" applyNumberFormat="1" applyBorder="1">
      <alignment vertical="center"/>
    </xf>
    <xf numFmtId="49" fontId="19" fillId="0" borderId="1" xfId="0" applyNumberFormat="1" applyFont="1" applyBorder="1">
      <alignment vertical="center"/>
    </xf>
    <xf numFmtId="49" fontId="19" fillId="0" borderId="4" xfId="0" applyNumberFormat="1" applyFont="1" applyBorder="1">
      <alignment vertical="center"/>
    </xf>
    <xf numFmtId="49" fontId="19" fillId="0" borderId="12" xfId="0" applyNumberFormat="1" applyFont="1" applyBorder="1">
      <alignment vertical="center"/>
    </xf>
    <xf numFmtId="49" fontId="20" fillId="0" borderId="9" xfId="0" applyNumberFormat="1" applyFont="1" applyBorder="1">
      <alignment vertical="center"/>
    </xf>
    <xf numFmtId="49" fontId="20" fillId="0" borderId="26" xfId="0" applyNumberFormat="1" applyFont="1" applyBorder="1">
      <alignment vertical="center"/>
    </xf>
    <xf numFmtId="49" fontId="46" fillId="0" borderId="0" xfId="0" applyNumberFormat="1" applyFont="1" applyAlignment="1">
      <alignment horizontal="center" vertical="center"/>
    </xf>
    <xf numFmtId="49" fontId="21" fillId="35" borderId="0" xfId="0" applyNumberFormat="1" applyFont="1" applyFill="1" applyAlignment="1">
      <alignment horizontal="center" vertical="center"/>
    </xf>
    <xf numFmtId="49" fontId="0" fillId="35" borderId="0" xfId="0" applyNumberFormat="1" applyFill="1" applyAlignment="1">
      <alignment horizontal="center" vertical="center"/>
    </xf>
    <xf numFmtId="49" fontId="0" fillId="36" borderId="32" xfId="0" applyNumberFormat="1" applyFill="1" applyBorder="1" applyAlignment="1">
      <alignment horizontal="center" vertical="center"/>
    </xf>
    <xf numFmtId="49" fontId="0" fillId="36" borderId="5" xfId="0" applyNumberFormat="1" applyFill="1" applyBorder="1" applyAlignment="1">
      <alignment horizontal="center" vertical="center"/>
    </xf>
    <xf numFmtId="49" fontId="25" fillId="37" borderId="5" xfId="0" applyNumberFormat="1" applyFont="1" applyFill="1" applyBorder="1" applyAlignment="1">
      <alignment horizontal="center" vertical="center"/>
    </xf>
    <xf numFmtId="49" fontId="25" fillId="38" borderId="5" xfId="0" applyNumberFormat="1" applyFont="1" applyFill="1" applyBorder="1" applyAlignment="1">
      <alignment horizontal="center" vertical="center"/>
    </xf>
    <xf numFmtId="49" fontId="27" fillId="36" borderId="5" xfId="0" applyNumberFormat="1" applyFont="1" applyFill="1" applyBorder="1" applyAlignment="1">
      <alignment horizontal="center" vertical="center"/>
    </xf>
    <xf numFmtId="14" fontId="0" fillId="0" borderId="0" xfId="0" applyNumberFormat="1" applyAlignment="1">
      <alignment horizontal="center" vertical="center"/>
    </xf>
    <xf numFmtId="49" fontId="25" fillId="2" borderId="5" xfId="0" applyNumberFormat="1" applyFont="1" applyFill="1" applyBorder="1" applyAlignment="1">
      <alignment horizontal="center" vertical="center"/>
    </xf>
    <xf numFmtId="49" fontId="21" fillId="39" borderId="0" xfId="0" applyNumberFormat="1" applyFont="1" applyFill="1" applyAlignment="1">
      <alignment horizontal="center" vertical="center"/>
    </xf>
    <xf numFmtId="49" fontId="0" fillId="30" borderId="32" xfId="0" applyNumberFormat="1" applyFill="1" applyBorder="1" applyAlignment="1">
      <alignment horizontal="center" vertical="center"/>
    </xf>
    <xf numFmtId="49" fontId="21" fillId="36" borderId="0" xfId="0" applyNumberFormat="1" applyFont="1" applyFill="1" applyAlignment="1">
      <alignment horizontal="center" vertical="center"/>
    </xf>
    <xf numFmtId="49" fontId="0" fillId="36" borderId="0" xfId="0" applyNumberFormat="1" applyFill="1" applyAlignment="1">
      <alignment horizontal="center" vertical="center"/>
    </xf>
    <xf numFmtId="49" fontId="0" fillId="36" borderId="5" xfId="2" applyNumberFormat="1" applyFont="1" applyFill="1" applyBorder="1" applyAlignment="1" applyProtection="1">
      <alignment horizontal="center" vertical="center"/>
    </xf>
    <xf numFmtId="49" fontId="44" fillId="36" borderId="5" xfId="2" applyNumberFormat="1" applyFill="1" applyBorder="1" applyAlignment="1" applyProtection="1">
      <alignment horizontal="center" vertical="center"/>
    </xf>
    <xf numFmtId="49" fontId="0" fillId="0" borderId="5" xfId="0" applyNumberFormat="1" applyFill="1" applyBorder="1" applyAlignment="1">
      <alignment horizontal="center" vertical="center"/>
    </xf>
    <xf numFmtId="49" fontId="0" fillId="0" borderId="32" xfId="0" applyNumberFormat="1" applyFill="1" applyBorder="1" applyAlignment="1">
      <alignment horizontal="center" vertical="center"/>
    </xf>
    <xf numFmtId="49" fontId="55" fillId="0" borderId="5" xfId="0" applyNumberFormat="1" applyFont="1" applyFill="1" applyBorder="1" applyAlignment="1">
      <alignment horizontal="center" vertical="center"/>
    </xf>
    <xf numFmtId="49" fontId="22" fillId="0" borderId="5" xfId="0" applyNumberFormat="1" applyFont="1" applyFill="1" applyBorder="1" applyAlignment="1">
      <alignment horizontal="center" vertical="center"/>
    </xf>
    <xf numFmtId="49" fontId="25" fillId="0" borderId="5" xfId="0" applyNumberFormat="1" applyFont="1" applyFill="1" applyBorder="1" applyAlignment="1">
      <alignment horizontal="center" vertical="center"/>
    </xf>
    <xf numFmtId="49" fontId="25" fillId="40" borderId="5" xfId="0" applyNumberFormat="1" applyFont="1" applyFill="1" applyBorder="1" applyAlignment="1">
      <alignment horizontal="center" vertical="center"/>
    </xf>
    <xf numFmtId="49" fontId="25" fillId="26" borderId="40" xfId="0" applyNumberFormat="1" applyFont="1" applyFill="1" applyBorder="1" applyAlignment="1">
      <alignment horizontal="center" vertical="center"/>
    </xf>
    <xf numFmtId="49" fontId="21" fillId="0" borderId="5" xfId="0" applyNumberFormat="1" applyFont="1" applyFill="1" applyBorder="1" applyAlignment="1">
      <alignment horizontal="center" vertical="center"/>
    </xf>
    <xf numFmtId="49" fontId="30" fillId="0" borderId="5" xfId="0" applyNumberFormat="1" applyFont="1" applyFill="1" applyBorder="1" applyAlignment="1">
      <alignment horizontal="center" vertical="center"/>
    </xf>
    <xf numFmtId="49" fontId="44" fillId="0" borderId="40" xfId="2" applyNumberFormat="1" applyFill="1" applyBorder="1" applyAlignment="1" applyProtection="1">
      <alignment horizontal="center" vertical="center"/>
    </xf>
    <xf numFmtId="49" fontId="0" fillId="0" borderId="0" xfId="0" applyNumberFormat="1" applyAlignment="1">
      <alignment vertical="center"/>
    </xf>
    <xf numFmtId="49" fontId="0" fillId="0" borderId="0" xfId="0" applyNumberFormat="1" applyFill="1" applyBorder="1" applyAlignment="1">
      <alignment vertical="center"/>
    </xf>
    <xf numFmtId="49" fontId="0" fillId="0" borderId="0" xfId="0" applyNumberFormat="1" applyFill="1" applyBorder="1" applyAlignment="1">
      <alignment vertical="center" wrapText="1"/>
    </xf>
    <xf numFmtId="49" fontId="21" fillId="0" borderId="0" xfId="0" applyNumberFormat="1" applyFont="1" applyFill="1">
      <alignment vertical="center"/>
    </xf>
    <xf numFmtId="49" fontId="46" fillId="0" borderId="0" xfId="0" applyNumberFormat="1" applyFont="1" applyFill="1">
      <alignment vertical="center"/>
    </xf>
    <xf numFmtId="49" fontId="59" fillId="0" borderId="0" xfId="0" applyNumberFormat="1" applyFont="1" applyFill="1" applyAlignment="1">
      <alignment horizontal="center" vertical="center"/>
    </xf>
    <xf numFmtId="49" fontId="0" fillId="0" borderId="0" xfId="0" applyNumberFormat="1" applyFill="1" applyAlignment="1">
      <alignment horizontal="center" vertical="center"/>
    </xf>
    <xf numFmtId="49" fontId="21" fillId="0" borderId="0" xfId="0" applyNumberFormat="1" applyFont="1" applyFill="1" applyAlignment="1">
      <alignment vertical="center"/>
    </xf>
    <xf numFmtId="49" fontId="28" fillId="38" borderId="5" xfId="0" applyNumberFormat="1" applyFont="1" applyFill="1" applyBorder="1" applyAlignment="1">
      <alignment horizontal="center" vertical="center"/>
    </xf>
    <xf numFmtId="0" fontId="2" fillId="2" borderId="7" xfId="0" applyFont="1" applyFill="1" applyBorder="1" applyAlignment="1">
      <alignment horizontal="center" vertical="center"/>
    </xf>
    <xf numFmtId="0" fontId="2" fillId="3" borderId="7" xfId="0" applyFont="1" applyFill="1" applyBorder="1" applyAlignment="1">
      <alignment horizontal="left" vertical="center" wrapText="1" indent="2"/>
    </xf>
    <xf numFmtId="0" fontId="2" fillId="2" borderId="1" xfId="0" applyFont="1" applyFill="1" applyBorder="1" applyAlignment="1">
      <alignment horizontal="center" vertical="center"/>
    </xf>
    <xf numFmtId="0" fontId="3" fillId="0" borderId="2" xfId="0" applyFont="1" applyBorder="1" applyAlignment="1">
      <alignment horizontal="left" vertical="center" indent="2"/>
    </xf>
    <xf numFmtId="0" fontId="2" fillId="2" borderId="2" xfId="0" applyFont="1" applyFill="1" applyBorder="1" applyAlignment="1">
      <alignment horizontal="center" vertical="center"/>
    </xf>
    <xf numFmtId="0" fontId="3" fillId="0" borderId="3" xfId="0" applyFont="1" applyBorder="1" applyAlignment="1">
      <alignment horizontal="left" vertical="center" indent="2"/>
    </xf>
    <xf numFmtId="0" fontId="2" fillId="2" borderId="4" xfId="0" applyFont="1" applyFill="1" applyBorder="1" applyAlignment="1">
      <alignment horizontal="center" vertical="center"/>
    </xf>
    <xf numFmtId="0" fontId="3" fillId="0" borderId="5" xfId="0" applyFont="1" applyBorder="1" applyAlignment="1">
      <alignment horizontal="left" vertical="center" indent="2"/>
    </xf>
    <xf numFmtId="0" fontId="2" fillId="2" borderId="5" xfId="0" applyFont="1" applyFill="1" applyBorder="1" applyAlignment="1">
      <alignment horizontal="center" vertical="center"/>
    </xf>
    <xf numFmtId="176" fontId="3" fillId="0" borderId="6" xfId="0" applyNumberFormat="1" applyFont="1" applyBorder="1" applyAlignment="1">
      <alignment horizontal="left" vertical="center" indent="2"/>
    </xf>
    <xf numFmtId="0" fontId="0" fillId="0" borderId="10" xfId="0" applyBorder="1" applyAlignment="1">
      <alignment horizontal="left" vertical="center" indent="2"/>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left" vertical="center" indent="2"/>
    </xf>
    <xf numFmtId="0" fontId="0" fillId="0" borderId="5" xfId="0" applyBorder="1" applyAlignment="1">
      <alignment horizontal="center" vertical="center"/>
    </xf>
    <xf numFmtId="0" fontId="0" fillId="0" borderId="6" xfId="0" applyBorder="1" applyAlignment="1">
      <alignment horizontal="center" vertical="center"/>
    </xf>
    <xf numFmtId="0" fontId="0" fillId="0" borderId="5" xfId="0" applyBorder="1" applyAlignment="1">
      <alignment horizontal="left" vertical="center" wrapText="1" indent="2"/>
    </xf>
    <xf numFmtId="0" fontId="0" fillId="6" borderId="5" xfId="0" applyFill="1" applyBorder="1" applyAlignment="1">
      <alignment horizontal="left" vertical="center" indent="2"/>
    </xf>
    <xf numFmtId="0" fontId="0" fillId="6" borderId="5" xfId="0" applyFill="1" applyBorder="1" applyAlignment="1">
      <alignment horizontal="center" vertical="center"/>
    </xf>
    <xf numFmtId="0" fontId="0" fillId="6" borderId="6" xfId="0" applyFill="1" applyBorder="1" applyAlignment="1">
      <alignment horizontal="center" vertical="center"/>
    </xf>
    <xf numFmtId="0" fontId="2" fillId="3" borderId="8" xfId="0" applyFont="1" applyFill="1" applyBorder="1" applyAlignment="1">
      <alignment horizontal="left" vertical="center" wrapText="1" indent="2"/>
    </xf>
    <xf numFmtId="0" fontId="4" fillId="4" borderId="9"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2"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8" fillId="7" borderId="13" xfId="0" applyFont="1" applyFill="1" applyBorder="1" applyAlignment="1">
      <alignment horizontal="center" vertical="center" wrapText="1"/>
    </xf>
    <xf numFmtId="0" fontId="10" fillId="0" borderId="17" xfId="0" applyFont="1" applyBorder="1" applyAlignment="1">
      <alignment horizontal="center" vertical="center"/>
    </xf>
    <xf numFmtId="0" fontId="6" fillId="0" borderId="15" xfId="0" applyFont="1" applyBorder="1" applyAlignment="1">
      <alignment horizontal="center" vertical="center"/>
    </xf>
    <xf numFmtId="0" fontId="6" fillId="0" borderId="18" xfId="0" applyFont="1" applyBorder="1" applyAlignment="1">
      <alignment horizontal="center" vertical="center"/>
    </xf>
    <xf numFmtId="0" fontId="8" fillId="7" borderId="13" xfId="0" applyFont="1" applyFill="1" applyBorder="1" applyAlignment="1">
      <alignment horizontal="center" vertical="center"/>
    </xf>
    <xf numFmtId="0" fontId="0" fillId="0" borderId="17" xfId="0" applyBorder="1" applyAlignment="1">
      <alignment horizontal="center" vertical="center"/>
    </xf>
    <xf numFmtId="0" fontId="0" fillId="0" borderId="15" xfId="0" applyBorder="1" applyAlignment="1">
      <alignment horizontal="center" vertical="center"/>
    </xf>
    <xf numFmtId="0" fontId="0" fillId="0" borderId="18" xfId="0" applyBorder="1" applyAlignment="1">
      <alignment horizontal="center" vertical="center"/>
    </xf>
    <xf numFmtId="0" fontId="8" fillId="7" borderId="1" xfId="0" applyFont="1" applyFill="1" applyBorder="1" applyAlignment="1">
      <alignment horizontal="center" vertical="center"/>
    </xf>
    <xf numFmtId="0" fontId="6" fillId="0" borderId="14" xfId="0" applyFont="1" applyBorder="1" applyAlignment="1">
      <alignment horizontal="left" vertical="center" indent="6"/>
    </xf>
    <xf numFmtId="0" fontId="6" fillId="0" borderId="15" xfId="0" applyFont="1" applyBorder="1" applyAlignment="1">
      <alignment horizontal="left" vertical="center" indent="6"/>
    </xf>
    <xf numFmtId="0" fontId="6" fillId="0" borderId="16" xfId="0" applyFont="1" applyBorder="1" applyAlignment="1">
      <alignment horizontal="left" vertical="center" indent="6"/>
    </xf>
    <xf numFmtId="0" fontId="9" fillId="8" borderId="5" xfId="0" applyFont="1" applyFill="1" applyBorder="1" applyAlignment="1">
      <alignment horizontal="center" vertical="center"/>
    </xf>
    <xf numFmtId="0" fontId="6" fillId="0" borderId="5" xfId="0" applyFont="1" applyBorder="1" applyAlignment="1">
      <alignment horizontal="left" vertical="center" indent="2"/>
    </xf>
    <xf numFmtId="0" fontId="6" fillId="0" borderId="6" xfId="0" applyFont="1" applyBorder="1" applyAlignment="1">
      <alignment horizontal="center" vertical="center"/>
    </xf>
    <xf numFmtId="0" fontId="9" fillId="8" borderId="10" xfId="0" applyFont="1" applyFill="1" applyBorder="1" applyAlignment="1">
      <alignment horizontal="center" vertical="center"/>
    </xf>
    <xf numFmtId="0" fontId="9" fillId="9" borderId="5" xfId="0" applyFont="1" applyFill="1" applyBorder="1" applyAlignment="1">
      <alignment horizontal="center" vertical="center"/>
    </xf>
    <xf numFmtId="0" fontId="9" fillId="9" borderId="10" xfId="0" applyFont="1" applyFill="1" applyBorder="1" applyAlignment="1">
      <alignment horizontal="center" vertical="center"/>
    </xf>
    <xf numFmtId="0" fontId="6" fillId="0" borderId="10" xfId="0" applyFont="1" applyBorder="1" applyAlignment="1">
      <alignment horizontal="left" vertical="center" indent="2"/>
    </xf>
    <xf numFmtId="0" fontId="6" fillId="0" borderId="11" xfId="0" applyFont="1" applyBorder="1" applyAlignment="1">
      <alignment horizontal="center" vertical="center"/>
    </xf>
    <xf numFmtId="0" fontId="6" fillId="0" borderId="5" xfId="0" applyFont="1" applyBorder="1" applyAlignment="1">
      <alignment horizontal="left" vertical="center" wrapText="1" indent="2"/>
    </xf>
    <xf numFmtId="0" fontId="9" fillId="8" borderId="4" xfId="0" applyFont="1" applyFill="1" applyBorder="1" applyAlignment="1">
      <alignment horizontal="center" vertical="center"/>
    </xf>
    <xf numFmtId="0" fontId="9" fillId="8" borderId="6" xfId="0" applyFont="1" applyFill="1" applyBorder="1" applyAlignment="1">
      <alignment horizontal="center" vertical="center"/>
    </xf>
    <xf numFmtId="0" fontId="6" fillId="0" borderId="13" xfId="0" applyFont="1" applyBorder="1" applyAlignment="1">
      <alignment horizontal="center" vertical="center"/>
    </xf>
    <xf numFmtId="0" fontId="8" fillId="7" borderId="4" xfId="0" applyFont="1" applyFill="1" applyBorder="1" applyAlignment="1">
      <alignment horizontal="center" vertical="center"/>
    </xf>
    <xf numFmtId="0" fontId="9" fillId="0" borderId="6" xfId="0" applyFont="1" applyBorder="1" applyAlignment="1">
      <alignment horizontal="center" vertical="center"/>
    </xf>
    <xf numFmtId="49" fontId="6" fillId="0" borderId="6" xfId="0" applyNumberFormat="1" applyFont="1" applyBorder="1" applyAlignment="1">
      <alignment horizontal="left" vertical="center" wrapText="1" indent="4"/>
    </xf>
    <xf numFmtId="0" fontId="8" fillId="7" borderId="12" xfId="0" applyFont="1" applyFill="1" applyBorder="1" applyAlignment="1">
      <alignment horizontal="center" vertical="center"/>
    </xf>
    <xf numFmtId="0" fontId="7" fillId="2" borderId="7" xfId="0" applyFont="1" applyFill="1" applyBorder="1" applyAlignment="1">
      <alignment horizontal="center" vertical="center"/>
    </xf>
    <xf numFmtId="0" fontId="7" fillId="3" borderId="8" xfId="0" applyFont="1" applyFill="1" applyBorder="1" applyAlignment="1">
      <alignment horizontal="left" vertical="center" wrapText="1" indent="2"/>
    </xf>
    <xf numFmtId="0" fontId="9" fillId="0" borderId="3" xfId="0" applyFont="1" applyBorder="1" applyAlignment="1">
      <alignment horizontal="center" vertical="center"/>
    </xf>
    <xf numFmtId="0" fontId="7" fillId="2" borderId="1" xfId="0" applyFont="1" applyFill="1" applyBorder="1" applyAlignment="1">
      <alignment horizontal="center" vertical="center"/>
    </xf>
    <xf numFmtId="0" fontId="7" fillId="0" borderId="2" xfId="0" applyFont="1" applyBorder="1" applyAlignment="1">
      <alignment horizontal="left" vertical="center" indent="2"/>
    </xf>
    <xf numFmtId="0" fontId="7" fillId="2" borderId="2" xfId="0" applyFont="1" applyFill="1" applyBorder="1" applyAlignment="1">
      <alignment horizontal="center" vertical="center"/>
    </xf>
    <xf numFmtId="0" fontId="7" fillId="0" borderId="3" xfId="0" applyFont="1" applyBorder="1" applyAlignment="1">
      <alignment horizontal="left" vertical="center" indent="2"/>
    </xf>
    <xf numFmtId="0" fontId="7" fillId="2" borderId="4" xfId="0" applyFont="1" applyFill="1" applyBorder="1" applyAlignment="1">
      <alignment horizontal="center" vertical="center"/>
    </xf>
    <xf numFmtId="0" fontId="7" fillId="0" borderId="5" xfId="0" applyFont="1" applyBorder="1" applyAlignment="1">
      <alignment horizontal="left" vertical="center" indent="2"/>
    </xf>
    <xf numFmtId="0" fontId="7" fillId="2" borderId="5" xfId="0" applyFont="1" applyFill="1" applyBorder="1" applyAlignment="1">
      <alignment horizontal="center" vertical="center"/>
    </xf>
    <xf numFmtId="176" fontId="7" fillId="0" borderId="6" xfId="0" applyNumberFormat="1" applyFont="1" applyBorder="1" applyAlignment="1">
      <alignment horizontal="left" vertical="center" indent="2"/>
    </xf>
    <xf numFmtId="0" fontId="12" fillId="4" borderId="19" xfId="0" applyFont="1" applyFill="1" applyBorder="1" applyAlignment="1">
      <alignment horizontal="center" vertical="center"/>
    </xf>
    <xf numFmtId="0" fontId="0" fillId="0" borderId="8" xfId="0" applyBorder="1" applyAlignment="1">
      <alignment horizontal="center" vertical="center"/>
    </xf>
    <xf numFmtId="0" fontId="11" fillId="4" borderId="9" xfId="0" applyFont="1" applyFill="1" applyBorder="1" applyAlignment="1">
      <alignment horizontal="center" vertical="center"/>
    </xf>
    <xf numFmtId="0" fontId="6" fillId="0" borderId="24" xfId="0" applyFont="1" applyBorder="1" applyAlignment="1">
      <alignment horizontal="left" vertical="center" indent="2"/>
    </xf>
    <xf numFmtId="0" fontId="6" fillId="0" borderId="25" xfId="0" applyFont="1" applyBorder="1" applyAlignment="1">
      <alignment horizontal="left" vertical="center" indent="2"/>
    </xf>
    <xf numFmtId="0" fontId="0" fillId="0" borderId="25" xfId="0" applyBorder="1" applyAlignment="1">
      <alignment horizontal="left" vertical="center" indent="2"/>
    </xf>
    <xf numFmtId="0" fontId="0" fillId="0" borderId="16" xfId="0" applyBorder="1" applyAlignment="1">
      <alignment horizontal="left" vertical="center" indent="2"/>
    </xf>
    <xf numFmtId="0" fontId="6" fillId="11" borderId="24" xfId="0" applyFont="1" applyFill="1" applyBorder="1" applyAlignment="1">
      <alignment horizontal="left" vertical="center" indent="2"/>
    </xf>
    <xf numFmtId="0" fontId="6" fillId="11" borderId="25" xfId="0" applyFont="1" applyFill="1" applyBorder="1" applyAlignment="1">
      <alignment horizontal="left" vertical="center" indent="2"/>
    </xf>
    <xf numFmtId="0" fontId="0" fillId="11" borderId="25" xfId="0" applyFill="1" applyBorder="1" applyAlignment="1">
      <alignment horizontal="left" vertical="center" indent="2"/>
    </xf>
    <xf numFmtId="0" fontId="0" fillId="11" borderId="16" xfId="0" applyFill="1" applyBorder="1" applyAlignment="1">
      <alignment horizontal="left" vertical="center" indent="2"/>
    </xf>
    <xf numFmtId="0" fontId="6" fillId="11" borderId="24" xfId="0" applyFont="1" applyFill="1" applyBorder="1" applyAlignment="1">
      <alignment horizontal="left" vertical="center" wrapText="1" indent="2"/>
    </xf>
    <xf numFmtId="0" fontId="6" fillId="11" borderId="25" xfId="0" applyFont="1" applyFill="1" applyBorder="1" applyAlignment="1">
      <alignment horizontal="left" vertical="center" wrapText="1" indent="2"/>
    </xf>
    <xf numFmtId="0" fontId="0" fillId="11" borderId="25" xfId="0" applyFill="1" applyBorder="1" applyAlignment="1">
      <alignment horizontal="left" vertical="center" wrapText="1" indent="2"/>
    </xf>
    <xf numFmtId="0" fontId="0" fillId="11" borderId="16" xfId="0" applyFill="1" applyBorder="1" applyAlignment="1">
      <alignment horizontal="left" vertical="center" wrapText="1" indent="2"/>
    </xf>
    <xf numFmtId="0" fontId="0" fillId="0" borderId="6" xfId="0" applyBorder="1" applyAlignment="1">
      <alignment horizontal="left" vertical="center" indent="2"/>
    </xf>
    <xf numFmtId="0" fontId="6" fillId="0" borderId="4" xfId="0" applyFont="1" applyBorder="1" applyAlignment="1">
      <alignment horizontal="left" vertical="center" indent="2"/>
    </xf>
    <xf numFmtId="0" fontId="6" fillId="11" borderId="4" xfId="0" applyFont="1" applyFill="1" applyBorder="1" applyAlignment="1">
      <alignment horizontal="left" vertical="center" indent="2"/>
    </xf>
    <xf numFmtId="0" fontId="6" fillId="11" borderId="5" xfId="0" applyFont="1" applyFill="1" applyBorder="1" applyAlignment="1">
      <alignment horizontal="left" vertical="center" indent="2"/>
    </xf>
    <xf numFmtId="0" fontId="0" fillId="11" borderId="5" xfId="0" applyFill="1" applyBorder="1" applyAlignment="1">
      <alignment horizontal="left" vertical="center" indent="2"/>
    </xf>
    <xf numFmtId="0" fontId="0" fillId="11" borderId="6" xfId="0" applyFill="1" applyBorder="1" applyAlignment="1">
      <alignment horizontal="left" vertical="center" indent="2"/>
    </xf>
    <xf numFmtId="0" fontId="6" fillId="0" borderId="4" xfId="0" applyFont="1" applyBorder="1" applyAlignment="1">
      <alignment horizontal="left" vertical="center" wrapText="1" indent="2"/>
    </xf>
    <xf numFmtId="0" fontId="0" fillId="0" borderId="6" xfId="0" applyBorder="1" applyAlignment="1">
      <alignment horizontal="left" vertical="center" wrapText="1" indent="2"/>
    </xf>
    <xf numFmtId="0" fontId="0" fillId="0" borderId="0" xfId="0" applyAlignment="1">
      <alignment horizontal="center" vertical="center"/>
    </xf>
    <xf numFmtId="0" fontId="6" fillId="11" borderId="6" xfId="0" applyFont="1" applyFill="1" applyBorder="1" applyAlignment="1">
      <alignment horizontal="left" vertical="center" indent="2"/>
    </xf>
    <xf numFmtId="0" fontId="6" fillId="0" borderId="6" xfId="0" applyFont="1" applyBorder="1" applyAlignment="1">
      <alignment horizontal="left" vertical="center" indent="2"/>
    </xf>
    <xf numFmtId="0" fontId="15" fillId="7" borderId="13" xfId="0" applyFont="1" applyFill="1" applyBorder="1" applyAlignment="1">
      <alignment horizontal="left" vertical="center" wrapText="1" indent="2"/>
    </xf>
    <xf numFmtId="0" fontId="6" fillId="3" borderId="11" xfId="0" applyFont="1" applyFill="1" applyBorder="1" applyAlignment="1">
      <alignment horizontal="center" vertical="center"/>
    </xf>
    <xf numFmtId="0" fontId="16" fillId="10" borderId="20" xfId="0" applyFont="1" applyFill="1" applyBorder="1" applyAlignment="1">
      <alignment horizontal="center" vertical="center"/>
    </xf>
    <xf numFmtId="0" fontId="16" fillId="10" borderId="21" xfId="0" applyFont="1" applyFill="1" applyBorder="1" applyAlignment="1">
      <alignment horizontal="center" vertical="center"/>
    </xf>
    <xf numFmtId="0" fontId="16" fillId="10" borderId="2" xfId="0" applyFont="1" applyFill="1" applyBorder="1" applyAlignment="1">
      <alignment horizontal="center" vertical="center"/>
    </xf>
    <xf numFmtId="0" fontId="17" fillId="10" borderId="2" xfId="0" applyFont="1" applyFill="1" applyBorder="1" applyAlignment="1">
      <alignment horizontal="center" vertical="center" wrapText="1"/>
    </xf>
    <xf numFmtId="0" fontId="17" fillId="10" borderId="22" xfId="0" applyFont="1" applyFill="1" applyBorder="1" applyAlignment="1">
      <alignment horizontal="center" vertical="center"/>
    </xf>
    <xf numFmtId="0" fontId="16" fillId="10" borderId="23" xfId="0" applyFont="1" applyFill="1" applyBorder="1" applyAlignment="1">
      <alignment horizontal="center" vertical="center"/>
    </xf>
    <xf numFmtId="0" fontId="17" fillId="10" borderId="23" xfId="0" applyFont="1" applyFill="1" applyBorder="1" applyAlignment="1">
      <alignment horizontal="center" vertical="center"/>
    </xf>
    <xf numFmtId="0" fontId="13" fillId="0" borderId="2" xfId="0" applyFont="1" applyBorder="1" applyAlignment="1">
      <alignment horizontal="left" vertical="center" indent="2"/>
    </xf>
    <xf numFmtId="0" fontId="13" fillId="0" borderId="3" xfId="0" applyFont="1" applyBorder="1" applyAlignment="1">
      <alignment horizontal="left" vertical="center" indent="2"/>
    </xf>
    <xf numFmtId="0" fontId="13" fillId="0" borderId="5" xfId="0" applyFont="1" applyBorder="1" applyAlignment="1">
      <alignment horizontal="left" vertical="center" indent="2"/>
    </xf>
    <xf numFmtId="176" fontId="7" fillId="2" borderId="5" xfId="0" applyNumberFormat="1" applyFont="1" applyFill="1" applyBorder="1" applyAlignment="1">
      <alignment horizontal="center" vertical="center"/>
    </xf>
    <xf numFmtId="176" fontId="13" fillId="0" borderId="6" xfId="0" applyNumberFormat="1" applyFont="1" applyBorder="1" applyAlignment="1">
      <alignment horizontal="left" vertical="center" indent="2"/>
    </xf>
    <xf numFmtId="0" fontId="7" fillId="2" borderId="12" xfId="0" applyFont="1" applyFill="1" applyBorder="1" applyAlignment="1">
      <alignment horizontal="center" vertical="center"/>
    </xf>
    <xf numFmtId="0" fontId="6" fillId="0" borderId="8" xfId="0" applyFont="1" applyBorder="1" applyAlignment="1">
      <alignment horizontal="left" vertical="center" wrapText="1" indent="2"/>
    </xf>
    <xf numFmtId="0" fontId="14" fillId="7" borderId="9" xfId="0" applyFont="1" applyFill="1" applyBorder="1" applyAlignment="1">
      <alignment horizontal="center" vertical="center"/>
    </xf>
    <xf numFmtId="0" fontId="15" fillId="7" borderId="1" xfId="0" applyFont="1" applyFill="1" applyBorder="1" applyAlignment="1">
      <alignment horizontal="left" vertical="center" indent="2"/>
    </xf>
    <xf numFmtId="0" fontId="9" fillId="3" borderId="3" xfId="0" applyFont="1" applyFill="1" applyBorder="1" applyAlignment="1">
      <alignment horizontal="center" vertical="center"/>
    </xf>
    <xf numFmtId="0" fontId="15" fillId="7" borderId="4" xfId="0" applyFont="1" applyFill="1" applyBorder="1" applyAlignment="1">
      <alignment horizontal="left" vertical="center" indent="2"/>
    </xf>
    <xf numFmtId="0" fontId="6" fillId="3" borderId="6" xfId="0" applyFont="1" applyFill="1" applyBorder="1" applyAlignment="1">
      <alignment horizontal="left" vertical="center" wrapText="1" indent="4"/>
    </xf>
    <xf numFmtId="0" fontId="6" fillId="3" borderId="6" xfId="0" applyFont="1" applyFill="1" applyBorder="1" applyAlignment="1">
      <alignment horizontal="center" vertical="center"/>
    </xf>
    <xf numFmtId="49" fontId="21" fillId="31" borderId="0" xfId="0" applyNumberFormat="1" applyFont="1" applyFill="1" applyAlignment="1">
      <alignment horizontal="center" vertical="center" wrapText="1"/>
    </xf>
    <xf numFmtId="49" fontId="21" fillId="31" borderId="0" xfId="0" applyNumberFormat="1" applyFont="1" applyFill="1" applyAlignment="1">
      <alignment horizontal="center" vertical="center"/>
    </xf>
    <xf numFmtId="0" fontId="0" fillId="0" borderId="5"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left" vertical="center" indent="2"/>
    </xf>
    <xf numFmtId="0" fontId="0" fillId="0" borderId="32" xfId="0" applyBorder="1" applyAlignment="1">
      <alignment horizontal="left" vertical="distributed" wrapText="1" indent="2"/>
    </xf>
    <xf numFmtId="0" fontId="0" fillId="5" borderId="2" xfId="0" applyFill="1" applyBorder="1" applyAlignment="1">
      <alignment horizontal="center" vertical="center"/>
    </xf>
    <xf numFmtId="0" fontId="0" fillId="5" borderId="2" xfId="0" applyFill="1" applyBorder="1" applyAlignment="1">
      <alignment horizontal="center" vertical="center" wrapText="1"/>
    </xf>
    <xf numFmtId="0" fontId="0" fillId="5" borderId="3" xfId="0" applyFill="1" applyBorder="1" applyAlignment="1">
      <alignment horizontal="center" vertical="center"/>
    </xf>
    <xf numFmtId="0" fontId="0" fillId="0" borderId="4" xfId="0" applyBorder="1" applyAlignment="1">
      <alignment horizontal="center" vertical="center"/>
    </xf>
    <xf numFmtId="0" fontId="21" fillId="0" borderId="5" xfId="0" applyFont="1" applyBorder="1" applyAlignment="1">
      <alignment horizontal="left" vertical="center" indent="2"/>
    </xf>
    <xf numFmtId="0" fontId="0" fillId="0" borderId="13" xfId="0" applyBorder="1" applyAlignment="1">
      <alignment horizontal="center" vertical="center"/>
    </xf>
    <xf numFmtId="0" fontId="21" fillId="0" borderId="10" xfId="0" applyFont="1" applyBorder="1" applyAlignment="1">
      <alignment horizontal="left" vertical="center" indent="2"/>
    </xf>
    <xf numFmtId="0" fontId="0" fillId="0" borderId="38" xfId="0" applyBorder="1" applyAlignment="1">
      <alignment horizontal="center" vertical="center"/>
    </xf>
    <xf numFmtId="0" fontId="34" fillId="0" borderId="6" xfId="0" applyFont="1" applyBorder="1" applyAlignment="1">
      <alignment horizontal="left" vertical="center" indent="2"/>
    </xf>
    <xf numFmtId="0" fontId="2" fillId="2" borderId="12" xfId="0" applyFont="1" applyFill="1" applyBorder="1" applyAlignment="1">
      <alignment horizontal="center" vertical="center"/>
    </xf>
    <xf numFmtId="0" fontId="21" fillId="0" borderId="33" xfId="0" applyFont="1" applyBorder="1" applyAlignment="1">
      <alignment horizontal="left" vertical="center" indent="2"/>
    </xf>
    <xf numFmtId="0" fontId="21" fillId="5" borderId="35" xfId="0" applyFont="1" applyFill="1" applyBorder="1" applyAlignment="1">
      <alignment horizontal="center" vertical="center"/>
    </xf>
    <xf numFmtId="0" fontId="21" fillId="5" borderId="36" xfId="0" applyFont="1" applyFill="1" applyBorder="1" applyAlignment="1">
      <alignment horizontal="center" vertical="center"/>
    </xf>
    <xf numFmtId="0" fontId="21" fillId="5" borderId="37" xfId="0" applyFont="1" applyFill="1"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21" fillId="0" borderId="25" xfId="0" applyFont="1" applyBorder="1" applyAlignment="1">
      <alignment horizontal="left" vertical="center" indent="2"/>
    </xf>
    <xf numFmtId="176" fontId="0" fillId="0" borderId="5" xfId="0" applyNumberFormat="1" applyBorder="1" applyAlignment="1">
      <alignment horizontal="center" vertical="center"/>
    </xf>
    <xf numFmtId="0" fontId="0" fillId="0" borderId="38" xfId="0" applyBorder="1" applyAlignment="1">
      <alignment horizontal="left" vertical="center" wrapText="1" indent="2"/>
    </xf>
    <xf numFmtId="0" fontId="21" fillId="18" borderId="2" xfId="0" applyFont="1" applyFill="1" applyBorder="1" applyAlignment="1">
      <alignment horizontal="center" vertical="center"/>
    </xf>
    <xf numFmtId="0" fontId="0" fillId="18" borderId="2" xfId="0" applyFill="1" applyBorder="1" applyAlignment="1">
      <alignment horizontal="center" vertical="center"/>
    </xf>
    <xf numFmtId="0" fontId="21" fillId="18" borderId="3" xfId="0" applyFont="1" applyFill="1" applyBorder="1" applyAlignment="1">
      <alignment horizontal="center" vertical="center"/>
    </xf>
    <xf numFmtId="0" fontId="3" fillId="0" borderId="3" xfId="0" applyFont="1" applyBorder="1" applyAlignment="1">
      <alignment horizontal="center" vertical="center"/>
    </xf>
    <xf numFmtId="176" fontId="3" fillId="0" borderId="6" xfId="0" applyNumberFormat="1" applyFont="1" applyBorder="1" applyAlignment="1">
      <alignment horizontal="center" vertical="center"/>
    </xf>
    <xf numFmtId="0" fontId="0" fillId="0" borderId="16" xfId="0" applyBorder="1" applyAlignment="1">
      <alignment horizontal="center" vertical="center"/>
    </xf>
    <xf numFmtId="0" fontId="35" fillId="5" borderId="36" xfId="0" applyFont="1" applyFill="1" applyBorder="1" applyAlignment="1">
      <alignment horizontal="center" vertical="center"/>
    </xf>
    <xf numFmtId="0" fontId="35" fillId="5" borderId="37" xfId="0" applyFont="1" applyFill="1" applyBorder="1" applyAlignment="1">
      <alignment horizontal="center" vertical="center"/>
    </xf>
    <xf numFmtId="0" fontId="5" fillId="5" borderId="41" xfId="0" applyFont="1" applyFill="1" applyBorder="1" applyAlignment="1">
      <alignment horizontal="center" vertical="center"/>
    </xf>
    <xf numFmtId="0" fontId="0" fillId="0" borderId="23" xfId="0" applyBorder="1" applyAlignment="1">
      <alignment horizontal="center" vertical="center"/>
    </xf>
    <xf numFmtId="0" fontId="5" fillId="5" borderId="10" xfId="0" applyFont="1" applyFill="1" applyBorder="1" applyAlignment="1">
      <alignment horizontal="center" vertical="center"/>
    </xf>
    <xf numFmtId="0" fontId="17" fillId="10" borderId="9" xfId="0" applyFont="1" applyFill="1" applyBorder="1" applyAlignment="1">
      <alignment horizontal="center" vertical="center"/>
    </xf>
    <xf numFmtId="0" fontId="5" fillId="5" borderId="39" xfId="0" applyFont="1" applyFill="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5" fillId="5" borderId="40" xfId="0" applyFont="1" applyFill="1" applyBorder="1" applyAlignment="1">
      <alignment horizontal="center" vertical="center"/>
    </xf>
    <xf numFmtId="176" fontId="0" fillId="3" borderId="5" xfId="0" applyNumberFormat="1" applyFill="1" applyBorder="1" applyAlignment="1">
      <alignment horizontal="center" vertical="center"/>
    </xf>
    <xf numFmtId="0" fontId="5" fillId="5" borderId="5" xfId="0" applyFont="1" applyFill="1" applyBorder="1" applyAlignment="1">
      <alignment horizontal="center" vertical="center"/>
    </xf>
    <xf numFmtId="179" fontId="0" fillId="0" borderId="6" xfId="0" applyNumberFormat="1" applyBorder="1" applyAlignment="1">
      <alignment horizontal="center" vertical="center"/>
    </xf>
    <xf numFmtId="0" fontId="0" fillId="0" borderId="8" xfId="0" applyBorder="1" applyAlignment="1">
      <alignment horizontal="left" vertical="center" wrapText="1" indent="2"/>
    </xf>
    <xf numFmtId="0" fontId="2" fillId="2" borderId="42" xfId="0" applyFont="1" applyFill="1" applyBorder="1" applyAlignment="1">
      <alignment horizontal="center" vertical="center"/>
    </xf>
    <xf numFmtId="0" fontId="3" fillId="0" borderId="43" xfId="0" applyFont="1" applyBorder="1" applyAlignment="1">
      <alignment horizontal="left" vertical="center" indent="2"/>
    </xf>
    <xf numFmtId="0" fontId="2" fillId="2" borderId="43" xfId="0" applyFont="1" applyFill="1" applyBorder="1" applyAlignment="1">
      <alignment horizontal="center" vertical="center"/>
    </xf>
    <xf numFmtId="0" fontId="3" fillId="0" borderId="14" xfId="0" applyFont="1" applyBorder="1" applyAlignment="1">
      <alignment horizontal="center" vertical="center"/>
    </xf>
    <xf numFmtId="0" fontId="0" fillId="0" borderId="12" xfId="0" applyBorder="1" applyAlignment="1">
      <alignment horizontal="left" vertical="center" wrapText="1" indent="2"/>
    </xf>
    <xf numFmtId="0" fontId="5" fillId="5" borderId="3" xfId="0" applyFont="1" applyFill="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3" borderId="32" xfId="0" applyFill="1" applyBorder="1" applyAlignment="1">
      <alignment horizontal="center" vertical="center"/>
    </xf>
    <xf numFmtId="0" fontId="27" fillId="0" borderId="45" xfId="0" applyFont="1" applyBorder="1" applyAlignment="1">
      <alignment horizontal="left" vertical="center"/>
    </xf>
    <xf numFmtId="0" fontId="0" fillId="0" borderId="3" xfId="0" applyBorder="1" applyAlignment="1">
      <alignment horizontal="left" vertical="center" indent="2"/>
    </xf>
    <xf numFmtId="0" fontId="0" fillId="10" borderId="6" xfId="0" applyFill="1" applyBorder="1" applyAlignment="1">
      <alignment horizontal="center" vertical="center"/>
    </xf>
    <xf numFmtId="0" fontId="0" fillId="0" borderId="48" xfId="0" applyBorder="1" applyAlignment="1">
      <alignment horizontal="center" vertical="center"/>
    </xf>
    <xf numFmtId="0" fontId="0" fillId="0" borderId="40" xfId="0" applyBorder="1" applyAlignment="1">
      <alignment horizontal="center" vertical="center"/>
    </xf>
    <xf numFmtId="0" fontId="0" fillId="0" borderId="29" xfId="0" applyBorder="1" applyAlignment="1">
      <alignment horizontal="center" vertical="center"/>
    </xf>
    <xf numFmtId="0" fontId="0" fillId="0" borderId="29" xfId="0" applyBorder="1" applyAlignment="1">
      <alignment horizontal="left" vertical="center" indent="2"/>
    </xf>
    <xf numFmtId="0" fontId="0" fillId="10" borderId="5" xfId="0" applyFill="1" applyBorder="1" applyAlignment="1">
      <alignment horizontal="center" vertical="center"/>
    </xf>
    <xf numFmtId="0" fontId="0" fillId="10" borderId="48" xfId="0" applyFill="1" applyBorder="1" applyAlignment="1">
      <alignment horizontal="center" vertical="center"/>
    </xf>
    <xf numFmtId="0" fontId="0" fillId="10" borderId="40" xfId="0" applyFill="1" applyBorder="1" applyAlignment="1">
      <alignment horizontal="center" vertical="center"/>
    </xf>
    <xf numFmtId="0" fontId="0" fillId="0" borderId="33" xfId="0" applyBorder="1" applyAlignment="1">
      <alignment horizontal="left" vertical="center" indent="2"/>
    </xf>
    <xf numFmtId="0" fontId="27" fillId="0" borderId="29" xfId="0" applyFont="1" applyBorder="1" applyAlignment="1">
      <alignment horizontal="left" vertical="center" indent="2"/>
    </xf>
    <xf numFmtId="0" fontId="0" fillId="10" borderId="1" xfId="0" applyFill="1" applyBorder="1" applyAlignment="1">
      <alignment horizontal="center" vertical="center"/>
    </xf>
    <xf numFmtId="0" fontId="0" fillId="10" borderId="2" xfId="0" applyFill="1" applyBorder="1" applyAlignment="1">
      <alignment horizontal="center" vertical="center"/>
    </xf>
    <xf numFmtId="0" fontId="0" fillId="10" borderId="3" xfId="0" applyFill="1" applyBorder="1" applyAlignment="1">
      <alignment horizontal="center" vertical="center"/>
    </xf>
    <xf numFmtId="0" fontId="36" fillId="2" borderId="1" xfId="0" applyFont="1" applyFill="1" applyBorder="1" applyAlignment="1">
      <alignment horizontal="center" vertical="center"/>
    </xf>
    <xf numFmtId="0" fontId="37" fillId="2" borderId="4" xfId="0" applyFont="1" applyFill="1" applyBorder="1" applyAlignment="1">
      <alignment horizontal="center" vertical="center"/>
    </xf>
    <xf numFmtId="0" fontId="37" fillId="2" borderId="13" xfId="0" applyFont="1" applyFill="1" applyBorder="1" applyAlignment="1">
      <alignment horizontal="center" vertical="center"/>
    </xf>
    <xf numFmtId="0" fontId="0" fillId="0" borderId="44" xfId="0" applyBorder="1" applyAlignment="1">
      <alignment horizontal="left" vertical="center" indent="2"/>
    </xf>
    <xf numFmtId="0" fontId="38" fillId="0" borderId="6" xfId="0" applyFont="1" applyBorder="1" applyAlignment="1">
      <alignment horizontal="center" vertical="center" wrapTex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xf>
    <xf numFmtId="0" fontId="5" fillId="5" borderId="6" xfId="0" applyFont="1" applyFill="1" applyBorder="1" applyAlignment="1">
      <alignment horizontal="center" vertical="center"/>
    </xf>
    <xf numFmtId="0" fontId="3" fillId="0" borderId="4" xfId="0" applyFont="1" applyBorder="1" applyAlignment="1">
      <alignment horizontal="center" vertical="center"/>
    </xf>
    <xf numFmtId="0" fontId="3" fillId="0" borderId="6" xfId="0" applyFont="1" applyBorder="1" applyAlignment="1">
      <alignment horizontal="left" vertical="center" indent="2"/>
    </xf>
    <xf numFmtId="0" fontId="3" fillId="0" borderId="13" xfId="0" applyFont="1" applyBorder="1" applyAlignment="1">
      <alignment horizontal="center" vertical="center"/>
    </xf>
    <xf numFmtId="0" fontId="3" fillId="0" borderId="10" xfId="0" applyFont="1" applyBorder="1" applyAlignment="1">
      <alignment horizontal="left" vertical="center" indent="2"/>
    </xf>
    <xf numFmtId="0" fontId="3" fillId="0" borderId="11" xfId="0" applyFont="1" applyBorder="1" applyAlignment="1">
      <alignment horizontal="left" vertical="center" indent="2"/>
    </xf>
    <xf numFmtId="0" fontId="39" fillId="2" borderId="44" xfId="0" applyFont="1" applyFill="1" applyBorder="1" applyAlignment="1">
      <alignment horizontal="left" vertical="center" indent="2"/>
    </xf>
    <xf numFmtId="0" fontId="5" fillId="10" borderId="1" xfId="0" applyFont="1" applyFill="1" applyBorder="1" applyAlignment="1">
      <alignment horizontal="center" vertical="center"/>
    </xf>
    <xf numFmtId="0" fontId="5" fillId="10" borderId="2" xfId="0" applyFont="1" applyFill="1" applyBorder="1" applyAlignment="1">
      <alignment horizontal="center" vertical="center"/>
    </xf>
    <xf numFmtId="0" fontId="5" fillId="10" borderId="3" xfId="0" applyFont="1" applyFill="1" applyBorder="1" applyAlignment="1">
      <alignment horizontal="center" vertical="center"/>
    </xf>
    <xf numFmtId="0" fontId="3" fillId="0" borderId="10" xfId="0" applyFont="1" applyBorder="1" applyAlignment="1">
      <alignment horizontal="center" vertical="center"/>
    </xf>
    <xf numFmtId="0" fontId="3" fillId="0" borderId="32" xfId="0" applyFont="1" applyBorder="1" applyAlignment="1">
      <alignment horizontal="center" vertical="center"/>
    </xf>
    <xf numFmtId="0" fontId="3" fillId="0" borderId="6" xfId="0" applyFont="1" applyBorder="1" applyAlignment="1">
      <alignment horizontal="center" vertical="center"/>
    </xf>
    <xf numFmtId="0" fontId="3" fillId="0" borderId="11" xfId="0" applyFont="1" applyBorder="1" applyAlignment="1">
      <alignment horizontal="center" vertical="center"/>
    </xf>
    <xf numFmtId="0" fontId="41" fillId="0" borderId="8" xfId="0" applyFont="1" applyBorder="1" applyAlignment="1">
      <alignment horizontal="left" vertical="center" indent="2"/>
    </xf>
    <xf numFmtId="0" fontId="3" fillId="0" borderId="5" xfId="0" applyFont="1" applyBorder="1" applyAlignment="1">
      <alignment horizontal="center" vertical="center"/>
    </xf>
    <xf numFmtId="0" fontId="40" fillId="0" borderId="5" xfId="0" applyFont="1" applyBorder="1" applyAlignment="1">
      <alignment horizontal="left" vertical="center" indent="2"/>
    </xf>
    <xf numFmtId="0" fontId="5" fillId="10" borderId="19" xfId="0" applyFont="1" applyFill="1" applyBorder="1" applyAlignment="1">
      <alignment horizontal="center" vertical="center"/>
    </xf>
    <xf numFmtId="0" fontId="3" fillId="0" borderId="8" xfId="0" applyFont="1" applyBorder="1" applyAlignment="1">
      <alignment horizontal="center" vertical="center"/>
    </xf>
    <xf numFmtId="0" fontId="39" fillId="2" borderId="9" xfId="0" applyFont="1" applyFill="1" applyBorder="1" applyAlignment="1">
      <alignment horizontal="left" vertical="center" indent="2"/>
    </xf>
    <xf numFmtId="0" fontId="3" fillId="0" borderId="9" xfId="0" applyFont="1" applyBorder="1" applyAlignment="1">
      <alignment horizontal="left" vertical="center" indent="2"/>
    </xf>
    <xf numFmtId="0" fontId="3" fillId="0" borderId="0" xfId="0" applyFont="1" applyAlignment="1">
      <alignment horizontal="center" vertical="center"/>
    </xf>
    <xf numFmtId="0" fontId="1" fillId="0" borderId="10" xfId="2" applyNumberFormat="1" applyFont="1" applyBorder="1" applyAlignment="1">
      <alignment horizontal="left" vertical="center" indent="2"/>
    </xf>
    <xf numFmtId="0" fontId="1" fillId="0" borderId="11" xfId="2" applyNumberFormat="1" applyFont="1" applyBorder="1" applyAlignment="1">
      <alignment horizontal="left" vertical="center" indent="2"/>
    </xf>
    <xf numFmtId="0" fontId="1" fillId="0" borderId="5" xfId="2" applyNumberFormat="1" applyFont="1" applyBorder="1" applyAlignment="1">
      <alignment horizontal="left" vertical="center" indent="2"/>
    </xf>
    <xf numFmtId="0" fontId="1" fillId="0" borderId="6" xfId="2" applyNumberFormat="1" applyFont="1" applyBorder="1" applyAlignment="1">
      <alignment horizontal="left" vertical="center" indent="2"/>
    </xf>
    <xf numFmtId="0" fontId="43" fillId="19" borderId="12" xfId="2" applyNumberFormat="1" applyFont="1" applyFill="1" applyBorder="1" applyAlignment="1">
      <alignment horizontal="center" vertical="center"/>
    </xf>
    <xf numFmtId="0" fontId="42" fillId="2" borderId="2" xfId="2" applyNumberFormat="1" applyFont="1" applyFill="1" applyBorder="1" applyAlignment="1">
      <alignment horizontal="center" vertical="center"/>
    </xf>
    <xf numFmtId="0" fontId="42" fillId="2" borderId="3" xfId="2" applyNumberFormat="1" applyFont="1" applyFill="1" applyBorder="1" applyAlignment="1">
      <alignment horizontal="center" vertical="center"/>
    </xf>
    <xf numFmtId="0" fontId="5" fillId="5" borderId="5" xfId="0" applyFont="1" applyFill="1" applyBorder="1" applyAlignment="1">
      <alignment horizontal="center" vertical="center" wrapText="1"/>
    </xf>
    <xf numFmtId="0" fontId="0" fillId="2" borderId="1" xfId="0" applyFill="1" applyBorder="1" applyAlignment="1">
      <alignment horizontal="center" vertical="center"/>
    </xf>
    <xf numFmtId="0" fontId="5" fillId="5" borderId="19" xfId="0" applyFont="1" applyFill="1" applyBorder="1" applyAlignment="1">
      <alignment horizontal="center" vertical="center"/>
    </xf>
    <xf numFmtId="0" fontId="0" fillId="20" borderId="41" xfId="0" applyFill="1" applyBorder="1" applyAlignment="1">
      <alignment horizontal="center" vertical="center"/>
    </xf>
    <xf numFmtId="0" fontId="0" fillId="0" borderId="56" xfId="0" applyBorder="1" applyAlignment="1">
      <alignment horizontal="center" vertical="center"/>
    </xf>
    <xf numFmtId="0" fontId="17" fillId="0" borderId="9" xfId="0" applyFont="1" applyBorder="1" applyAlignment="1">
      <alignment horizontal="left" vertical="center" indent="2"/>
    </xf>
    <xf numFmtId="49" fontId="0" fillId="0" borderId="0" xfId="0" applyNumberFormat="1" applyBorder="1" applyAlignment="1">
      <alignment horizontal="center" vertical="center"/>
    </xf>
    <xf numFmtId="49" fontId="22" fillId="0" borderId="0" xfId="0" applyNumberFormat="1" applyFont="1" applyBorder="1" applyAlignment="1">
      <alignment horizontal="center" vertical="center"/>
    </xf>
    <xf numFmtId="49" fontId="26" fillId="0" borderId="0" xfId="0" applyNumberFormat="1" applyFont="1" applyBorder="1" applyAlignment="1">
      <alignment horizontal="center" vertical="center"/>
    </xf>
    <xf numFmtId="14" fontId="0" fillId="0" borderId="0" xfId="0" applyNumberFormat="1" applyBorder="1" applyAlignment="1">
      <alignment horizontal="center" vertical="center"/>
    </xf>
    <xf numFmtId="49" fontId="27" fillId="0" borderId="0" xfId="0" applyNumberFormat="1" applyFont="1" applyBorder="1" applyAlignment="1">
      <alignment horizontal="center" vertical="center"/>
    </xf>
    <xf numFmtId="14" fontId="49" fillId="0" borderId="5" xfId="0" applyNumberFormat="1" applyFont="1" applyBorder="1" applyAlignment="1">
      <alignment horizontal="center" vertical="center"/>
    </xf>
  </cellXfs>
  <cellStyles count="3">
    <cellStyle name="설명 텍스트" xfId="2" builtinId="53" customBuiltin="1"/>
    <cellStyle name="표준" xfId="0" builtinId="0"/>
    <cellStyle name="하이퍼링크" xfId="1" builtinId="8"/>
  </cellStyles>
  <dxfs count="0"/>
  <tableStyles count="0" defaultTableStyle="TableStyleMedium2" defaultPivotStyle="PivotStyleLight16"/>
  <colors>
    <indexedColors>
      <rgbColor rgb="FF000000"/>
      <rgbColor rgb="FFFFFFFF"/>
      <rgbColor rgb="FFFF0000"/>
      <rgbColor rgb="FF32CD32"/>
      <rgbColor rgb="FF0000FF"/>
      <rgbColor rgb="FFFFFF00"/>
      <rgbColor rgb="FFFF00FF"/>
      <rgbColor rgb="FF00FFFF"/>
      <rgbColor rgb="FF800000"/>
      <rgbColor rgb="FF008000"/>
      <rgbColor rgb="FF222225"/>
      <rgbColor rgb="FF808000"/>
      <rgbColor rgb="FF800080"/>
      <rgbColor rgb="FF008080"/>
      <rgbColor rgb="FFB9CDE5"/>
      <rgbColor rgb="FF948A54"/>
      <rgbColor rgb="FF8EB4E3"/>
      <rgbColor rgb="FFB22222"/>
      <rgbColor rgb="FFEEECE1"/>
      <rgbColor rgb="FFDBEEF4"/>
      <rgbColor rgb="FF660066"/>
      <rgbColor rgb="FFFF4500"/>
      <rgbColor rgb="FF376092"/>
      <rgbColor rgb="FFC6D9F1"/>
      <rgbColor rgb="FF222222"/>
      <rgbColor rgb="FFFF00FF"/>
      <rgbColor rgb="FFFFF200"/>
      <rgbColor rgb="FF00FFFF"/>
      <rgbColor rgb="FF800080"/>
      <rgbColor rgb="FF800000"/>
      <rgbColor rgb="FF008080"/>
      <rgbColor rgb="FF0000FF"/>
      <rgbColor rgb="FF00CCFF"/>
      <rgbColor rgb="FFDCE6F2"/>
      <rgbColor rgb="FFB7DEE8"/>
      <rgbColor rgb="FFFCD5B5"/>
      <rgbColor rgb="FF93CDDD"/>
      <rgbColor rgb="FFD9D9D9"/>
      <rgbColor rgb="FFB3A2C7"/>
      <rgbColor rgb="FFFAC090"/>
      <rgbColor rgb="FF3366FF"/>
      <rgbColor rgb="FF92CDDD"/>
      <rgbColor rgb="FFC3D69B"/>
      <rgbColor rgb="FFFFC000"/>
      <rgbColor rgb="FFFF9900"/>
      <rgbColor rgb="FFE46C0A"/>
      <rgbColor rgb="FF595959"/>
      <rgbColor rgb="FFA6A6A6"/>
      <rgbColor rgb="FF002060"/>
      <rgbColor rgb="FF31859C"/>
      <rgbColor rgb="FF1E1C11"/>
      <rgbColor rgb="FF232323"/>
      <rgbColor rgb="FF8B4513"/>
      <rgbColor rgb="FF7030A0"/>
      <rgbColor rgb="FF2C4D75"/>
      <rgbColor rgb="FF333333"/>
      <rgbColor rgb="00003366"/>
      <rgbColor rgb="00339966"/>
      <rgbColor rgb="00003300"/>
      <rgbColor rgb="00333300"/>
      <rgbColor rgb="00993300"/>
      <rgbColor rgb="00993366"/>
      <rgbColor rgb="00333399"/>
      <rgbColor rgb="00333333"/>
    </indexedColors>
    <mruColors>
      <color rgb="FFB7DEE8"/>
      <color rgb="FF93CDDD"/>
      <color rgb="FFC3D69B"/>
      <color rgb="FFFAC0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c:style val="2"/>
  <c:chart>
    <c:autoTitleDeleted val="1"/>
    <c:plotArea>
      <c:layout/>
      <c:barChart>
        <c:barDir val="bar"/>
        <c:grouping val="stacked"/>
        <c:varyColors val="0"/>
        <c:ser>
          <c:idx val="0"/>
          <c:order val="0"/>
          <c:tx>
            <c:strRef>
              <c:f>'18_프로젝트상세일정'!$M$15</c:f>
              <c:strCache>
                <c:ptCount val="1"/>
                <c:pt idx="0">
                  <c:v>시작일</c:v>
                </c:pt>
              </c:strCache>
            </c:strRef>
          </c:tx>
          <c:spPr>
            <a:no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errBars>
            <c:errBarType val="plus"/>
            <c:errValType val="cust"/>
            <c:noEndCap val="0"/>
            <c:plus>
              <c:numRef>
                <c:f>'18_프로젝트상세일정'!$Q$28</c:f>
                <c:numCache>
                  <c:formatCode>General</c:formatCode>
                  <c:ptCount val="1"/>
                  <c:pt idx="0">
                    <c:v>84.077500000000015</c:v>
                  </c:pt>
                </c:numCache>
              </c:numRef>
            </c:plus>
          </c:errBars>
          <c:cat>
            <c:strRef>
              <c:f>'18_프로젝트상세일정'!$B$28</c:f>
              <c:strCache>
                <c:ptCount val="1"/>
                <c:pt idx="0">
                  <c:v>총 진행 현황</c:v>
                </c:pt>
              </c:strCache>
            </c:strRef>
          </c:cat>
          <c:val>
            <c:numRef>
              <c:f>'18_프로젝트상세일정'!$M$28</c:f>
              <c:numCache>
                <c:formatCode>yyyy/m/d</c:formatCode>
                <c:ptCount val="1"/>
                <c:pt idx="0">
                  <c:v>44697</c:v>
                </c:pt>
              </c:numCache>
            </c:numRef>
          </c:val>
          <c:extLst>
            <c:ext xmlns:c16="http://schemas.microsoft.com/office/drawing/2014/chart" uri="{C3380CC4-5D6E-409C-BE32-E72D297353CC}">
              <c16:uniqueId val="{00000000-806F-458D-8F9D-AB0E8A8D67A4}"/>
            </c:ext>
          </c:extLst>
        </c:ser>
        <c:ser>
          <c:idx val="1"/>
          <c:order val="1"/>
          <c:tx>
            <c:strRef>
              <c:f>'18_프로젝트상세일정'!$O$15</c:f>
              <c:strCache>
                <c:ptCount val="1"/>
                <c:pt idx="0">
                  <c:v>작업일수</c:v>
                </c:pt>
              </c:strCache>
            </c:strRef>
          </c:tx>
          <c:spPr>
            <a:solidFill>
              <a:srgbClr val="2C4D75"/>
            </a:solid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'18_프로젝트상세일정'!$B$28</c:f>
              <c:strCache>
                <c:ptCount val="1"/>
                <c:pt idx="0">
                  <c:v>총 진행 현황</c:v>
                </c:pt>
              </c:strCache>
            </c:strRef>
          </c:cat>
          <c:val>
            <c:numRef>
              <c:f>'18_프로젝트상세일정'!$O$28</c:f>
              <c:numCache>
                <c:formatCode>General</c:formatCode>
                <c:ptCount val="1"/>
                <c:pt idx="0">
                  <c:v>169</c:v>
                </c:pt>
              </c:numCache>
            </c:numRef>
          </c:val>
          <c:extLst>
            <c:ext xmlns:c16="http://schemas.microsoft.com/office/drawing/2014/chart" uri="{C3380CC4-5D6E-409C-BE32-E72D297353CC}">
              <c16:uniqueId val="{00000001-806F-458D-8F9D-AB0E8A8D67A4}"/>
            </c:ext>
          </c:extLst>
        </c:ser>
        <c:dLbls>
          <c:showLegendKey val="0"/>
          <c:showVal val="0"/>
          <c:showCatName val="0"/>
          <c:showSerName val="0"/>
          <c:showPercent val="0"/>
          <c:showBubbleSize val="0"/>
        </c:dLbls>
        <c:gapWidth val="150"/>
        <c:overlap val="100"/>
        <c:axId val="16691984"/>
        <c:axId val="16452479"/>
      </c:barChart>
      <c:catAx>
        <c:axId val="16691984"/>
        <c:scaling>
          <c:orientation val="maxMin"/>
        </c:scaling>
        <c:delete val="0"/>
        <c:axPos val="l"/>
        <c:numFmt formatCode="General" sourceLinked="1"/>
        <c:majorTickMark val="none"/>
        <c:minorTickMark val="none"/>
        <c:tickLblPos val="nextTo"/>
        <c:spPr>
          <a:ln w="9360">
            <a:solidFill>
              <a:srgbClr val="D9D9D9"/>
            </a:solidFill>
            <a:round/>
          </a:ln>
        </c:spPr>
        <c:txPr>
          <a:bodyPr/>
          <a:lstStyle/>
          <a:p>
            <a:pPr>
              <a:defRPr sz="1050" b="1" strike="noStrike" spc="-1">
                <a:solidFill>
                  <a:srgbClr val="000000"/>
                </a:solidFill>
                <a:latin typeface="Calibri"/>
              </a:defRPr>
            </a:pPr>
            <a:endParaRPr lang="ko-KR"/>
          </a:p>
        </c:txPr>
        <c:crossAx val="16452479"/>
        <c:crosses val="autoZero"/>
        <c:auto val="1"/>
        <c:lblAlgn val="ctr"/>
        <c:lblOffset val="100"/>
        <c:noMultiLvlLbl val="1"/>
      </c:catAx>
      <c:valAx>
        <c:axId val="16452479"/>
        <c:scaling>
          <c:orientation val="minMax"/>
          <c:max val="44859"/>
          <c:min val="44704"/>
        </c:scaling>
        <c:delete val="0"/>
        <c:axPos val="t"/>
        <c:numFmt formatCode="yyyy/m/d" sourceLinked="0"/>
        <c:majorTickMark val="none"/>
        <c:minorTickMark val="none"/>
        <c:tickLblPos val="nextTo"/>
        <c:spPr>
          <a:ln w="9360">
            <a:noFill/>
          </a:ln>
        </c:spPr>
        <c:txPr>
          <a:bodyPr/>
          <a:lstStyle/>
          <a:p>
            <a:pPr>
              <a:defRPr sz="1050" b="1" strike="noStrike" spc="-1">
                <a:solidFill>
                  <a:srgbClr val="595959"/>
                </a:solidFill>
                <a:latin typeface="Calibri"/>
              </a:defRPr>
            </a:pPr>
            <a:endParaRPr lang="ko-KR"/>
          </a:p>
        </c:txPr>
        <c:crossAx val="16691984"/>
        <c:crosses val="autoZero"/>
        <c:crossBetween val="between"/>
        <c:majorUnit val="14"/>
      </c:valAx>
      <c:spPr>
        <a:noFill/>
        <a:ln>
          <a:noFill/>
        </a:ln>
      </c:spPr>
    </c:plotArea>
    <c:plotVisOnly val="1"/>
    <c:dispBlanksAs val="gap"/>
    <c:showDLblsOverMax val="1"/>
  </c:chart>
  <c:spPr>
    <a:noFill/>
    <a:ln w="936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c:style val="2"/>
  <c:chart>
    <c:autoTitleDeleted val="1"/>
    <c:plotArea>
      <c:layout/>
      <c:barChart>
        <c:barDir val="bar"/>
        <c:grouping val="stacked"/>
        <c:varyColors val="0"/>
        <c:ser>
          <c:idx val="0"/>
          <c:order val="0"/>
          <c:tx>
            <c:strRef>
              <c:f>'18_프로젝트상세일정'!$M$15</c:f>
              <c:strCache>
                <c:ptCount val="1"/>
                <c:pt idx="0">
                  <c:v>시작일</c:v>
                </c:pt>
              </c:strCache>
            </c:strRef>
          </c:tx>
          <c:spPr>
            <a:no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errBars>
            <c:errBarType val="plus"/>
            <c:errValType val="cust"/>
            <c:noEndCap val="0"/>
            <c:plus>
              <c:numRef>
                <c:f>'18_프로젝트상세일정'!$Q$16:$Q$27</c:f>
                <c:numCache>
                  <c:formatCode>General</c:formatCode>
                  <c:ptCount val="12"/>
                  <c:pt idx="0">
                    <c:v>18</c:v>
                  </c:pt>
                  <c:pt idx="1">
                    <c:v>19</c:v>
                  </c:pt>
                  <c:pt idx="2">
                    <c:v>9.5</c:v>
                  </c:pt>
                  <c:pt idx="3">
                    <c:v>5.7</c:v>
                  </c:pt>
                  <c:pt idx="4">
                    <c:v>2</c:v>
                  </c:pt>
                  <c:pt idx="5">
                    <c:v>3.8000000000000003</c:v>
                  </c:pt>
                  <c:pt idx="6">
                    <c:v>1.2000000000000002</c:v>
                  </c:pt>
                  <c:pt idx="7">
                    <c:v>9.5</c:v>
                  </c:pt>
                  <c:pt idx="8">
                    <c:v>9.5</c:v>
                  </c:pt>
                  <c:pt idx="9">
                    <c:v>12.299999999999999</c:v>
                  </c:pt>
                  <c:pt idx="10">
                    <c:v>9.5</c:v>
                  </c:pt>
                  <c:pt idx="11">
                    <c:v>15.930000000000001</c:v>
                  </c:pt>
                </c:numCache>
              </c:numRef>
            </c:plus>
          </c:errBars>
          <c:cat>
            <c:strRef>
              <c:f>'18_프로젝트상세일정'!$E$16:$E$27</c:f>
              <c:strCache>
                <c:ptCount val="12"/>
                <c:pt idx="0">
                  <c:v>강의소개</c:v>
                </c:pt>
                <c:pt idx="1">
                  <c:v>수강혜택</c:v>
                </c:pt>
                <c:pt idx="2">
                  <c:v>강의시간표</c:v>
                </c:pt>
                <c:pt idx="3">
                  <c:v>강사소개</c:v>
                </c:pt>
                <c:pt idx="4">
                  <c:v>수강후기</c:v>
                </c:pt>
                <c:pt idx="5">
                  <c:v>수강신청</c:v>
                </c:pt>
                <c:pt idx="6">
                  <c:v>로그인</c:v>
                </c:pt>
                <c:pt idx="7">
                  <c:v>회원가입</c:v>
                </c:pt>
                <c:pt idx="8">
                  <c:v>아이디/비밀번호 찾기</c:v>
                </c:pt>
                <c:pt idx="9">
                  <c:v>회원탈퇴</c:v>
                </c:pt>
                <c:pt idx="10">
                  <c:v>회원정보수정</c:v>
                </c:pt>
                <c:pt idx="11">
                  <c:v>공지사항</c:v>
                </c:pt>
              </c:strCache>
            </c:strRef>
          </c:cat>
          <c:val>
            <c:numRef>
              <c:f>'18_프로젝트상세일정'!$M$16:$M$27</c:f>
              <c:numCache>
                <c:formatCode>yyyy/m/d</c:formatCode>
                <c:ptCount val="12"/>
                <c:pt idx="0">
                  <c:v>44705</c:v>
                </c:pt>
                <c:pt idx="1">
                  <c:v>44705</c:v>
                </c:pt>
                <c:pt idx="2">
                  <c:v>44706</c:v>
                </c:pt>
                <c:pt idx="3">
                  <c:v>44707</c:v>
                </c:pt>
                <c:pt idx="4">
                  <c:v>44739</c:v>
                </c:pt>
                <c:pt idx="5">
                  <c:v>44709</c:v>
                </c:pt>
                <c:pt idx="6">
                  <c:v>44771</c:v>
                </c:pt>
                <c:pt idx="7">
                  <c:v>44711</c:v>
                </c:pt>
                <c:pt idx="8">
                  <c:v>44804</c:v>
                </c:pt>
                <c:pt idx="9">
                  <c:v>44805</c:v>
                </c:pt>
                <c:pt idx="10">
                  <c:v>44836</c:v>
                </c:pt>
                <c:pt idx="11">
                  <c:v>44837</c:v>
                </c:pt>
              </c:numCache>
            </c:numRef>
          </c:val>
          <c:extLst>
            <c:ext xmlns:c16="http://schemas.microsoft.com/office/drawing/2014/chart" uri="{C3380CC4-5D6E-409C-BE32-E72D297353CC}">
              <c16:uniqueId val="{00000000-E9E6-4126-A46F-57F2E0D5496A}"/>
            </c:ext>
          </c:extLst>
        </c:ser>
        <c:ser>
          <c:idx val="1"/>
          <c:order val="1"/>
          <c:spPr>
            <a:solidFill>
              <a:srgbClr val="B9CDE5"/>
            </a:solid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'18_프로젝트상세일정'!$E$16:$E$27</c:f>
              <c:strCache>
                <c:ptCount val="12"/>
                <c:pt idx="0">
                  <c:v>강의소개</c:v>
                </c:pt>
                <c:pt idx="1">
                  <c:v>수강혜택</c:v>
                </c:pt>
                <c:pt idx="2">
                  <c:v>강의시간표</c:v>
                </c:pt>
                <c:pt idx="3">
                  <c:v>강사소개</c:v>
                </c:pt>
                <c:pt idx="4">
                  <c:v>수강후기</c:v>
                </c:pt>
                <c:pt idx="5">
                  <c:v>수강신청</c:v>
                </c:pt>
                <c:pt idx="6">
                  <c:v>로그인</c:v>
                </c:pt>
                <c:pt idx="7">
                  <c:v>회원가입</c:v>
                </c:pt>
                <c:pt idx="8">
                  <c:v>아이디/비밀번호 찾기</c:v>
                </c:pt>
                <c:pt idx="9">
                  <c:v>회원탈퇴</c:v>
                </c:pt>
                <c:pt idx="10">
                  <c:v>회원정보수정</c:v>
                </c:pt>
                <c:pt idx="11">
                  <c:v>공지사항</c:v>
                </c:pt>
              </c:strCache>
            </c:strRef>
          </c:cat>
          <c:val>
            <c:numRef>
              <c:f>'18_프로젝트상세일정'!$O$16:$O$27</c:f>
              <c:numCache>
                <c:formatCode>General</c:formatCode>
                <c:ptCount val="12"/>
                <c:pt idx="0">
                  <c:v>18</c:v>
                </c:pt>
                <c:pt idx="1">
                  <c:v>19</c:v>
                </c:pt>
                <c:pt idx="2">
                  <c:v>19</c:v>
                </c:pt>
                <c:pt idx="3">
                  <c:v>19</c:v>
                </c:pt>
                <c:pt idx="4">
                  <c:v>4</c:v>
                </c:pt>
                <c:pt idx="5">
                  <c:v>19</c:v>
                </c:pt>
                <c:pt idx="6">
                  <c:v>3</c:v>
                </c:pt>
                <c:pt idx="7">
                  <c:v>19</c:v>
                </c:pt>
                <c:pt idx="8">
                  <c:v>19</c:v>
                </c:pt>
                <c:pt idx="9">
                  <c:v>41</c:v>
                </c:pt>
                <c:pt idx="10">
                  <c:v>19</c:v>
                </c:pt>
                <c:pt idx="11">
                  <c:v>59</c:v>
                </c:pt>
              </c:numCache>
            </c:numRef>
          </c:val>
          <c:extLst>
            <c:ext xmlns:c16="http://schemas.microsoft.com/office/drawing/2014/chart" uri="{C3380CC4-5D6E-409C-BE32-E72D297353CC}">
              <c16:uniqueId val="{00000001-E9E6-4126-A46F-57F2E0D5496A}"/>
            </c:ext>
          </c:extLst>
        </c:ser>
        <c:dLbls>
          <c:showLegendKey val="0"/>
          <c:showVal val="0"/>
          <c:showCatName val="0"/>
          <c:showSerName val="0"/>
          <c:showPercent val="0"/>
          <c:showBubbleSize val="0"/>
        </c:dLbls>
        <c:gapWidth val="150"/>
        <c:overlap val="100"/>
        <c:axId val="62039729"/>
        <c:axId val="47792275"/>
      </c:barChart>
      <c:catAx>
        <c:axId val="62039729"/>
        <c:scaling>
          <c:orientation val="maxMin"/>
        </c:scaling>
        <c:delete val="0"/>
        <c:axPos val="l"/>
        <c:numFmt formatCode="General" sourceLinked="1"/>
        <c:majorTickMark val="none"/>
        <c:minorTickMark val="none"/>
        <c:tickLblPos val="nextTo"/>
        <c:spPr>
          <a:ln w="9360">
            <a:solidFill>
              <a:srgbClr val="D9D9D9"/>
            </a:solidFill>
            <a:round/>
          </a:ln>
        </c:spPr>
        <c:txPr>
          <a:bodyPr/>
          <a:lstStyle/>
          <a:p>
            <a:pPr>
              <a:defRPr sz="1050" b="1" strike="noStrike" spc="-1">
                <a:solidFill>
                  <a:srgbClr val="000000"/>
                </a:solidFill>
                <a:latin typeface="Calibri"/>
              </a:defRPr>
            </a:pPr>
            <a:endParaRPr lang="ko-KR"/>
          </a:p>
        </c:txPr>
        <c:crossAx val="47792275"/>
        <c:crosses val="autoZero"/>
        <c:auto val="1"/>
        <c:lblAlgn val="ctr"/>
        <c:lblOffset val="100"/>
        <c:noMultiLvlLbl val="1"/>
      </c:catAx>
      <c:valAx>
        <c:axId val="47792275"/>
        <c:scaling>
          <c:orientation val="minMax"/>
          <c:max val="44859"/>
          <c:min val="44704"/>
        </c:scaling>
        <c:delete val="0"/>
        <c:axPos val="t"/>
        <c:numFmt formatCode="yyyy/m/d" sourceLinked="0"/>
        <c:majorTickMark val="none"/>
        <c:minorTickMark val="none"/>
        <c:tickLblPos val="nextTo"/>
        <c:spPr>
          <a:ln w="9360">
            <a:noFill/>
          </a:ln>
        </c:spPr>
        <c:txPr>
          <a:bodyPr/>
          <a:lstStyle/>
          <a:p>
            <a:pPr>
              <a:defRPr sz="1050" b="1" strike="noStrike" spc="-1">
                <a:solidFill>
                  <a:srgbClr val="595959"/>
                </a:solidFill>
                <a:latin typeface="Calibri"/>
              </a:defRPr>
            </a:pPr>
            <a:endParaRPr lang="ko-KR"/>
          </a:p>
        </c:txPr>
        <c:crossAx val="62039729"/>
        <c:crosses val="autoZero"/>
        <c:crossBetween val="between"/>
        <c:majorUnit val="14"/>
      </c:valAx>
      <c:spPr>
        <a:noFill/>
        <a:ln>
          <a:noFill/>
        </a:ln>
      </c:spPr>
    </c:plotArea>
    <c:plotVisOnly val="1"/>
    <c:dispBlanksAs val="gap"/>
    <c:showDLblsOverMax val="1"/>
  </c:chart>
  <c:spPr>
    <a:noFill/>
    <a:ln w="936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14</xdr:row>
      <xdr:rowOff>19080</xdr:rowOff>
    </xdr:from>
    <xdr:to>
      <xdr:col>19</xdr:col>
      <xdr:colOff>659160</xdr:colOff>
      <xdr:row>54</xdr:row>
      <xdr:rowOff>15840</xdr:rowOff>
    </xdr:to>
    <xdr:pic>
      <xdr:nvPicPr>
        <xdr:cNvPr id="2" name="그림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stretch/>
      </xdr:blipFill>
      <xdr:spPr>
        <a:xfrm>
          <a:off x="260280" y="4594680"/>
          <a:ext cx="13083480" cy="9024480"/>
        </a:xfrm>
        <a:prstGeom prst="rect">
          <a:avLst/>
        </a:prstGeom>
        <a:ln>
          <a:noFill/>
        </a:ln>
      </xdr:spPr>
    </xdr:pic>
    <xdr:clientData/>
  </xdr:twoCellAnchor>
  <xdr:twoCellAnchor>
    <xdr:from>
      <xdr:col>10</xdr:col>
      <xdr:colOff>666000</xdr:colOff>
      <xdr:row>58</xdr:row>
      <xdr:rowOff>0</xdr:rowOff>
    </xdr:from>
    <xdr:to>
      <xdr:col>14</xdr:col>
      <xdr:colOff>145080</xdr:colOff>
      <xdr:row>61</xdr:row>
      <xdr:rowOff>37800</xdr:rowOff>
    </xdr:to>
    <xdr:sp macro="" textlink="">
      <xdr:nvSpPr>
        <xdr:cNvPr id="3" name="CustomShape 1">
          <a:extLst>
            <a:ext uri="{FF2B5EF4-FFF2-40B4-BE49-F238E27FC236}">
              <a16:creationId xmlns:a16="http://schemas.microsoft.com/office/drawing/2014/main" id="{00000000-0008-0000-0400-000003000000}"/>
            </a:ext>
          </a:extLst>
        </xdr:cNvPr>
        <xdr:cNvSpPr/>
      </xdr:nvSpPr>
      <xdr:spPr>
        <a:xfrm>
          <a:off x="7138440" y="14601600"/>
          <a:ext cx="2239920" cy="700920"/>
        </a:xfrm>
        <a:prstGeom prst="ellipse">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JJ 사이트를 이용한다.</a:t>
          </a:r>
          <a:endParaRPr lang="en-US" sz="1100" b="0" strike="noStrike" spc="-1">
            <a:latin typeface="바탕"/>
          </a:endParaRPr>
        </a:p>
      </xdr:txBody>
    </xdr:sp>
    <xdr:clientData/>
  </xdr:twoCellAnchor>
  <xdr:twoCellAnchor>
    <xdr:from>
      <xdr:col>6</xdr:col>
      <xdr:colOff>342000</xdr:colOff>
      <xdr:row>58</xdr:row>
      <xdr:rowOff>50760</xdr:rowOff>
    </xdr:from>
    <xdr:to>
      <xdr:col>9</xdr:col>
      <xdr:colOff>151200</xdr:colOff>
      <xdr:row>61</xdr:row>
      <xdr:rowOff>197280</xdr:rowOff>
    </xdr:to>
    <xdr:sp macro="" textlink="">
      <xdr:nvSpPr>
        <xdr:cNvPr id="4" name="CustomShape 1">
          <a:extLst>
            <a:ext uri="{FF2B5EF4-FFF2-40B4-BE49-F238E27FC236}">
              <a16:creationId xmlns:a16="http://schemas.microsoft.com/office/drawing/2014/main" id="{00000000-0008-0000-0400-000004000000}"/>
            </a:ext>
          </a:extLst>
        </xdr:cNvPr>
        <xdr:cNvSpPr/>
      </xdr:nvSpPr>
      <xdr:spPr>
        <a:xfrm>
          <a:off x="4053240" y="14652360"/>
          <a:ext cx="1879920" cy="8096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한다.</a:t>
          </a:r>
          <a:endParaRPr lang="en-US" sz="1100" b="0" strike="noStrike" spc="-1">
            <a:latin typeface="바탕"/>
          </a:endParaRPr>
        </a:p>
      </xdr:txBody>
    </xdr:sp>
    <xdr:clientData/>
  </xdr:twoCellAnchor>
  <xdr:twoCellAnchor>
    <xdr:from>
      <xdr:col>12</xdr:col>
      <xdr:colOff>350640</xdr:colOff>
      <xdr:row>61</xdr:row>
      <xdr:rowOff>82440</xdr:rowOff>
    </xdr:from>
    <xdr:to>
      <xdr:col>12</xdr:col>
      <xdr:colOff>372600</xdr:colOff>
      <xdr:row>64</xdr:row>
      <xdr:rowOff>171000</xdr:rowOff>
    </xdr:to>
    <xdr:sp macro="" textlink="">
      <xdr:nvSpPr>
        <xdr:cNvPr id="5" name="CustomShape 1">
          <a:extLst>
            <a:ext uri="{FF2B5EF4-FFF2-40B4-BE49-F238E27FC236}">
              <a16:creationId xmlns:a16="http://schemas.microsoft.com/office/drawing/2014/main" id="{00000000-0008-0000-0400-000005000000}"/>
            </a:ext>
          </a:extLst>
        </xdr:cNvPr>
        <xdr:cNvSpPr/>
      </xdr:nvSpPr>
      <xdr:spPr>
        <a:xfrm flipH="1">
          <a:off x="8203680" y="15347160"/>
          <a:ext cx="21960" cy="7513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633960</xdr:colOff>
      <xdr:row>64</xdr:row>
      <xdr:rowOff>197640</xdr:rowOff>
    </xdr:from>
    <xdr:to>
      <xdr:col>14</xdr:col>
      <xdr:colOff>106560</xdr:colOff>
      <xdr:row>68</xdr:row>
      <xdr:rowOff>24840</xdr:rowOff>
    </xdr:to>
    <xdr:sp macro="" textlink="">
      <xdr:nvSpPr>
        <xdr:cNvPr id="6" name="CustomShape 1">
          <a:extLst>
            <a:ext uri="{FF2B5EF4-FFF2-40B4-BE49-F238E27FC236}">
              <a16:creationId xmlns:a16="http://schemas.microsoft.com/office/drawing/2014/main" id="{00000000-0008-0000-0400-000006000000}"/>
            </a:ext>
          </a:extLst>
        </xdr:cNvPr>
        <xdr:cNvSpPr/>
      </xdr:nvSpPr>
      <xdr:spPr>
        <a:xfrm>
          <a:off x="7106400" y="16125120"/>
          <a:ext cx="2233440" cy="71100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가입된 회원?</a:t>
          </a:r>
          <a:endParaRPr lang="en-US" sz="1100" b="0" strike="noStrike" spc="-1">
            <a:latin typeface="바탕"/>
          </a:endParaRPr>
        </a:p>
      </xdr:txBody>
    </xdr:sp>
    <xdr:clientData/>
  </xdr:twoCellAnchor>
  <xdr:twoCellAnchor>
    <xdr:from>
      <xdr:col>12</xdr:col>
      <xdr:colOff>354600</xdr:colOff>
      <xdr:row>68</xdr:row>
      <xdr:rowOff>50760</xdr:rowOff>
    </xdr:from>
    <xdr:to>
      <xdr:col>12</xdr:col>
      <xdr:colOff>360720</xdr:colOff>
      <xdr:row>71</xdr:row>
      <xdr:rowOff>31320</xdr:rowOff>
    </xdr:to>
    <xdr:sp macro="" textlink="">
      <xdr:nvSpPr>
        <xdr:cNvPr id="7" name="CustomShape 1">
          <a:extLst>
            <a:ext uri="{FF2B5EF4-FFF2-40B4-BE49-F238E27FC236}">
              <a16:creationId xmlns:a16="http://schemas.microsoft.com/office/drawing/2014/main" id="{00000000-0008-0000-0400-000007000000}"/>
            </a:ext>
          </a:extLst>
        </xdr:cNvPr>
        <xdr:cNvSpPr/>
      </xdr:nvSpPr>
      <xdr:spPr>
        <a:xfrm>
          <a:off x="8207640" y="16862040"/>
          <a:ext cx="6120" cy="6436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462600</xdr:colOff>
      <xdr:row>68</xdr:row>
      <xdr:rowOff>191520</xdr:rowOff>
    </xdr:from>
    <xdr:to>
      <xdr:col>13</xdr:col>
      <xdr:colOff>385920</xdr:colOff>
      <xdr:row>70</xdr:row>
      <xdr:rowOff>50400</xdr:rowOff>
    </xdr:to>
    <xdr:sp macro="" textlink="">
      <xdr:nvSpPr>
        <xdr:cNvPr id="8" name="CustomShape 1">
          <a:extLst>
            <a:ext uri="{FF2B5EF4-FFF2-40B4-BE49-F238E27FC236}">
              <a16:creationId xmlns:a16="http://schemas.microsoft.com/office/drawing/2014/main" id="{00000000-0008-0000-0400-000008000000}"/>
            </a:ext>
          </a:extLst>
        </xdr:cNvPr>
        <xdr:cNvSpPr/>
      </xdr:nvSpPr>
      <xdr:spPr>
        <a:xfrm>
          <a:off x="8315640" y="1700280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11</xdr:col>
      <xdr:colOff>30960</xdr:colOff>
      <xdr:row>71</xdr:row>
      <xdr:rowOff>88920</xdr:rowOff>
    </xdr:from>
    <xdr:to>
      <xdr:col>13</xdr:col>
      <xdr:colOff>640080</xdr:colOff>
      <xdr:row>75</xdr:row>
      <xdr:rowOff>12240</xdr:rowOff>
    </xdr:to>
    <xdr:sp macro="" textlink="">
      <xdr:nvSpPr>
        <xdr:cNvPr id="9" name="CustomShape 1">
          <a:extLst>
            <a:ext uri="{FF2B5EF4-FFF2-40B4-BE49-F238E27FC236}">
              <a16:creationId xmlns:a16="http://schemas.microsoft.com/office/drawing/2014/main" id="{00000000-0008-0000-0400-000009000000}"/>
            </a:ext>
          </a:extLst>
        </xdr:cNvPr>
        <xdr:cNvSpPr/>
      </xdr:nvSpPr>
      <xdr:spPr>
        <a:xfrm>
          <a:off x="7193520" y="17563320"/>
          <a:ext cx="1989720" cy="80712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회면으로</a:t>
          </a:r>
          <a:endParaRPr lang="en-US" sz="1100" b="0" strike="noStrike" spc="-1">
            <a:latin typeface="바탕"/>
          </a:endParaRPr>
        </a:p>
        <a:p>
          <a:pPr algn="ctr">
            <a:lnSpc>
              <a:spcPct val="100000"/>
            </a:lnSpc>
          </a:pPr>
          <a:r>
            <a:rPr lang="en-US" sz="1100" b="0" strike="noStrike" spc="-1">
              <a:solidFill>
                <a:srgbClr val="000000"/>
              </a:solidFill>
              <a:latin typeface="Calibri"/>
            </a:rPr>
            <a:t>페이지 이동한다.</a:t>
          </a:r>
          <a:endParaRPr lang="en-US" sz="1100" b="0" strike="noStrike" spc="-1">
            <a:latin typeface="바탕"/>
          </a:endParaRPr>
        </a:p>
      </xdr:txBody>
    </xdr:sp>
    <xdr:clientData/>
  </xdr:twoCellAnchor>
  <xdr:twoCellAnchor>
    <xdr:from>
      <xdr:col>6</xdr:col>
      <xdr:colOff>259560</xdr:colOff>
      <xdr:row>64</xdr:row>
      <xdr:rowOff>44280</xdr:rowOff>
    </xdr:from>
    <xdr:to>
      <xdr:col>9</xdr:col>
      <xdr:colOff>208440</xdr:colOff>
      <xdr:row>67</xdr:row>
      <xdr:rowOff>183600</xdr:rowOff>
    </xdr:to>
    <xdr:sp macro="" textlink="">
      <xdr:nvSpPr>
        <xdr:cNvPr id="10" name="CustomShape 1">
          <a:extLst>
            <a:ext uri="{FF2B5EF4-FFF2-40B4-BE49-F238E27FC236}">
              <a16:creationId xmlns:a16="http://schemas.microsoft.com/office/drawing/2014/main" id="{00000000-0008-0000-0400-00000A000000}"/>
            </a:ext>
          </a:extLst>
        </xdr:cNvPr>
        <xdr:cNvSpPr/>
      </xdr:nvSpPr>
      <xdr:spPr>
        <a:xfrm>
          <a:off x="3970800" y="15971760"/>
          <a:ext cx="2019600" cy="80244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페이지로 이동한다.</a:t>
          </a:r>
          <a:endParaRPr lang="en-US" sz="1100" b="0" strike="noStrike" spc="-1">
            <a:latin typeface="바탕"/>
          </a:endParaRPr>
        </a:p>
      </xdr:txBody>
    </xdr:sp>
    <xdr:clientData/>
  </xdr:twoCellAnchor>
  <xdr:twoCellAnchor>
    <xdr:from>
      <xdr:col>7</xdr:col>
      <xdr:colOff>602280</xdr:colOff>
      <xdr:row>62</xdr:row>
      <xdr:rowOff>19080</xdr:rowOff>
    </xdr:from>
    <xdr:to>
      <xdr:col>7</xdr:col>
      <xdr:colOff>602640</xdr:colOff>
      <xdr:row>64</xdr:row>
      <xdr:rowOff>31320</xdr:rowOff>
    </xdr:to>
    <xdr:sp macro="" textlink="">
      <xdr:nvSpPr>
        <xdr:cNvPr id="11" name="CustomShape 1">
          <a:extLst>
            <a:ext uri="{FF2B5EF4-FFF2-40B4-BE49-F238E27FC236}">
              <a16:creationId xmlns:a16="http://schemas.microsoft.com/office/drawing/2014/main" id="{00000000-0008-0000-0400-00000B000000}"/>
            </a:ext>
          </a:extLst>
        </xdr:cNvPr>
        <xdr:cNvSpPr/>
      </xdr:nvSpPr>
      <xdr:spPr>
        <a:xfrm>
          <a:off x="5004000" y="15504480"/>
          <a:ext cx="360" cy="4543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106920</xdr:colOff>
      <xdr:row>62</xdr:row>
      <xdr:rowOff>69840</xdr:rowOff>
    </xdr:from>
    <xdr:to>
      <xdr:col>11</xdr:col>
      <xdr:colOff>30240</xdr:colOff>
      <xdr:row>63</xdr:row>
      <xdr:rowOff>132840</xdr:rowOff>
    </xdr:to>
    <xdr:sp macro="" textlink="">
      <xdr:nvSpPr>
        <xdr:cNvPr id="12" name="CustomShape 1">
          <a:extLst>
            <a:ext uri="{FF2B5EF4-FFF2-40B4-BE49-F238E27FC236}">
              <a16:creationId xmlns:a16="http://schemas.microsoft.com/office/drawing/2014/main" id="{00000000-0008-0000-0400-00000C000000}"/>
            </a:ext>
          </a:extLst>
        </xdr:cNvPr>
        <xdr:cNvSpPr/>
      </xdr:nvSpPr>
      <xdr:spPr>
        <a:xfrm>
          <a:off x="6579360" y="1555524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9</xdr:col>
      <xdr:colOff>151560</xdr:colOff>
      <xdr:row>60</xdr:row>
      <xdr:rowOff>22320</xdr:rowOff>
    </xdr:from>
    <xdr:to>
      <xdr:col>10</xdr:col>
      <xdr:colOff>633960</xdr:colOff>
      <xdr:row>66</xdr:row>
      <xdr:rowOff>117360</xdr:rowOff>
    </xdr:to>
    <xdr:sp macro="" textlink="">
      <xdr:nvSpPr>
        <xdr:cNvPr id="13" name="CustomShape 1">
          <a:extLst>
            <a:ext uri="{FF2B5EF4-FFF2-40B4-BE49-F238E27FC236}">
              <a16:creationId xmlns:a16="http://schemas.microsoft.com/office/drawing/2014/main" id="{00000000-0008-0000-0400-00000D000000}"/>
            </a:ext>
          </a:extLst>
        </xdr:cNvPr>
        <xdr:cNvSpPr/>
      </xdr:nvSpPr>
      <xdr:spPr>
        <a:xfrm>
          <a:off x="5933520" y="15066000"/>
          <a:ext cx="1172880" cy="142092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7</xdr:col>
      <xdr:colOff>589680</xdr:colOff>
      <xdr:row>67</xdr:row>
      <xdr:rowOff>197640</xdr:rowOff>
    </xdr:from>
    <xdr:to>
      <xdr:col>7</xdr:col>
      <xdr:colOff>590040</xdr:colOff>
      <xdr:row>70</xdr:row>
      <xdr:rowOff>5760</xdr:rowOff>
    </xdr:to>
    <xdr:sp macro="" textlink="">
      <xdr:nvSpPr>
        <xdr:cNvPr id="14" name="CustomShape 1">
          <a:extLst>
            <a:ext uri="{FF2B5EF4-FFF2-40B4-BE49-F238E27FC236}">
              <a16:creationId xmlns:a16="http://schemas.microsoft.com/office/drawing/2014/main" id="{00000000-0008-0000-0400-00000E000000}"/>
            </a:ext>
          </a:extLst>
        </xdr:cNvPr>
        <xdr:cNvSpPr/>
      </xdr:nvSpPr>
      <xdr:spPr>
        <a:xfrm>
          <a:off x="4991400" y="16788240"/>
          <a:ext cx="360" cy="4708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6</xdr:col>
      <xdr:colOff>322920</xdr:colOff>
      <xdr:row>70</xdr:row>
      <xdr:rowOff>57240</xdr:rowOff>
    </xdr:from>
    <xdr:to>
      <xdr:col>9</xdr:col>
      <xdr:colOff>132120</xdr:colOff>
      <xdr:row>73</xdr:row>
      <xdr:rowOff>220320</xdr:rowOff>
    </xdr:to>
    <xdr:sp macro="" textlink="">
      <xdr:nvSpPr>
        <xdr:cNvPr id="15" name="CustomShape 1">
          <a:extLst>
            <a:ext uri="{FF2B5EF4-FFF2-40B4-BE49-F238E27FC236}">
              <a16:creationId xmlns:a16="http://schemas.microsoft.com/office/drawing/2014/main" id="{00000000-0008-0000-0400-00000F000000}"/>
            </a:ext>
          </a:extLst>
        </xdr:cNvPr>
        <xdr:cNvSpPr/>
      </xdr:nvSpPr>
      <xdr:spPr>
        <a:xfrm>
          <a:off x="4034160" y="1731060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가입에 필요한 정보를 입력한다.</a:t>
          </a:r>
          <a:endParaRPr lang="en-US" sz="1100" b="0" strike="noStrike" spc="-1">
            <a:latin typeface="바탕"/>
          </a:endParaRPr>
        </a:p>
      </xdr:txBody>
    </xdr:sp>
    <xdr:clientData/>
  </xdr:twoCellAnchor>
  <xdr:twoCellAnchor>
    <xdr:from>
      <xdr:col>6</xdr:col>
      <xdr:colOff>214920</xdr:colOff>
      <xdr:row>76</xdr:row>
      <xdr:rowOff>25560</xdr:rowOff>
    </xdr:from>
    <xdr:to>
      <xdr:col>9</xdr:col>
      <xdr:colOff>347760</xdr:colOff>
      <xdr:row>79</xdr:row>
      <xdr:rowOff>56880</xdr:rowOff>
    </xdr:to>
    <xdr:sp macro="" textlink="">
      <xdr:nvSpPr>
        <xdr:cNvPr id="16" name="CustomShape 1">
          <a:extLst>
            <a:ext uri="{FF2B5EF4-FFF2-40B4-BE49-F238E27FC236}">
              <a16:creationId xmlns:a16="http://schemas.microsoft.com/office/drawing/2014/main" id="{00000000-0008-0000-0400-000010000000}"/>
            </a:ext>
          </a:extLst>
        </xdr:cNvPr>
        <xdr:cNvSpPr/>
      </xdr:nvSpPr>
      <xdr:spPr>
        <a:xfrm>
          <a:off x="3926160" y="18604800"/>
          <a:ext cx="2203560" cy="69444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아이디 중복?</a:t>
          </a:r>
          <a:endParaRPr lang="en-US" sz="1100" b="0" strike="noStrike" spc="-1">
            <a:latin typeface="바탕"/>
          </a:endParaRPr>
        </a:p>
      </xdr:txBody>
    </xdr:sp>
    <xdr:clientData/>
  </xdr:twoCellAnchor>
  <xdr:twoCellAnchor>
    <xdr:from>
      <xdr:col>7</xdr:col>
      <xdr:colOff>595800</xdr:colOff>
      <xdr:row>73</xdr:row>
      <xdr:rowOff>185040</xdr:rowOff>
    </xdr:from>
    <xdr:to>
      <xdr:col>7</xdr:col>
      <xdr:colOff>596160</xdr:colOff>
      <xdr:row>75</xdr:row>
      <xdr:rowOff>197280</xdr:rowOff>
    </xdr:to>
    <xdr:sp macro="" textlink="">
      <xdr:nvSpPr>
        <xdr:cNvPr id="17" name="CustomShape 1">
          <a:extLst>
            <a:ext uri="{FF2B5EF4-FFF2-40B4-BE49-F238E27FC236}">
              <a16:creationId xmlns:a16="http://schemas.microsoft.com/office/drawing/2014/main" id="{00000000-0008-0000-0400-000011000000}"/>
            </a:ext>
          </a:extLst>
        </xdr:cNvPr>
        <xdr:cNvSpPr/>
      </xdr:nvSpPr>
      <xdr:spPr>
        <a:xfrm>
          <a:off x="4997520" y="18101520"/>
          <a:ext cx="360" cy="4539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653040</xdr:colOff>
      <xdr:row>83</xdr:row>
      <xdr:rowOff>82440</xdr:rowOff>
    </xdr:from>
    <xdr:to>
      <xdr:col>13</xdr:col>
      <xdr:colOff>462240</xdr:colOff>
      <xdr:row>87</xdr:row>
      <xdr:rowOff>24840</xdr:rowOff>
    </xdr:to>
    <xdr:sp macro="" textlink="">
      <xdr:nvSpPr>
        <xdr:cNvPr id="18" name="CustomShape 1">
          <a:extLst>
            <a:ext uri="{FF2B5EF4-FFF2-40B4-BE49-F238E27FC236}">
              <a16:creationId xmlns:a16="http://schemas.microsoft.com/office/drawing/2014/main" id="{00000000-0008-0000-0400-000012000000}"/>
            </a:ext>
          </a:extLst>
        </xdr:cNvPr>
        <xdr:cNvSpPr/>
      </xdr:nvSpPr>
      <xdr:spPr>
        <a:xfrm>
          <a:off x="7125480" y="2020860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한다.</a:t>
          </a:r>
          <a:endParaRPr lang="en-US" sz="1100" b="0" strike="noStrike" spc="-1">
            <a:latin typeface="바탕"/>
          </a:endParaRPr>
        </a:p>
      </xdr:txBody>
    </xdr:sp>
    <xdr:clientData/>
  </xdr:twoCellAnchor>
  <xdr:twoCellAnchor>
    <xdr:from>
      <xdr:col>6</xdr:col>
      <xdr:colOff>322920</xdr:colOff>
      <xdr:row>81</xdr:row>
      <xdr:rowOff>63360</xdr:rowOff>
    </xdr:from>
    <xdr:to>
      <xdr:col>9</xdr:col>
      <xdr:colOff>132120</xdr:colOff>
      <xdr:row>85</xdr:row>
      <xdr:rowOff>5760</xdr:rowOff>
    </xdr:to>
    <xdr:sp macro="" textlink="">
      <xdr:nvSpPr>
        <xdr:cNvPr id="19" name="CustomShape 1">
          <a:extLst>
            <a:ext uri="{FF2B5EF4-FFF2-40B4-BE49-F238E27FC236}">
              <a16:creationId xmlns:a16="http://schemas.microsoft.com/office/drawing/2014/main" id="{00000000-0008-0000-0400-000013000000}"/>
            </a:ext>
          </a:extLst>
        </xdr:cNvPr>
        <xdr:cNvSpPr/>
      </xdr:nvSpPr>
      <xdr:spPr>
        <a:xfrm>
          <a:off x="4034160" y="19747440"/>
          <a:ext cx="1879920" cy="8265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성공</a:t>
          </a:r>
          <a:endParaRPr lang="en-US" sz="1100" b="0" strike="noStrike" spc="-1">
            <a:latin typeface="바탕"/>
          </a:endParaRPr>
        </a:p>
      </xdr:txBody>
    </xdr:sp>
    <xdr:clientData/>
  </xdr:twoCellAnchor>
  <xdr:twoCellAnchor>
    <xdr:from>
      <xdr:col>7</xdr:col>
      <xdr:colOff>570600</xdr:colOff>
      <xdr:row>79</xdr:row>
      <xdr:rowOff>108000</xdr:rowOff>
    </xdr:from>
    <xdr:to>
      <xdr:col>7</xdr:col>
      <xdr:colOff>582840</xdr:colOff>
      <xdr:row>81</xdr:row>
      <xdr:rowOff>56880</xdr:rowOff>
    </xdr:to>
    <xdr:sp macro="" textlink="">
      <xdr:nvSpPr>
        <xdr:cNvPr id="20" name="CustomShape 1">
          <a:extLst>
            <a:ext uri="{FF2B5EF4-FFF2-40B4-BE49-F238E27FC236}">
              <a16:creationId xmlns:a16="http://schemas.microsoft.com/office/drawing/2014/main" id="{00000000-0008-0000-0400-000014000000}"/>
            </a:ext>
          </a:extLst>
        </xdr:cNvPr>
        <xdr:cNvSpPr/>
      </xdr:nvSpPr>
      <xdr:spPr>
        <a:xfrm flipH="1">
          <a:off x="4972320" y="19350360"/>
          <a:ext cx="12240" cy="3906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3</xdr:col>
      <xdr:colOff>13680</xdr:colOff>
      <xdr:row>68</xdr:row>
      <xdr:rowOff>76320</xdr:rowOff>
    </xdr:from>
    <xdr:to>
      <xdr:col>4</xdr:col>
      <xdr:colOff>595800</xdr:colOff>
      <xdr:row>72</xdr:row>
      <xdr:rowOff>184680</xdr:rowOff>
    </xdr:to>
    <xdr:sp macro="" textlink="">
      <xdr:nvSpPr>
        <xdr:cNvPr id="21" name="CustomShape 1">
          <a:extLst>
            <a:ext uri="{FF2B5EF4-FFF2-40B4-BE49-F238E27FC236}">
              <a16:creationId xmlns:a16="http://schemas.microsoft.com/office/drawing/2014/main" id="{00000000-0008-0000-0400-000015000000}"/>
            </a:ext>
          </a:extLst>
        </xdr:cNvPr>
        <xdr:cNvSpPr/>
      </xdr:nvSpPr>
      <xdr:spPr>
        <a:xfrm>
          <a:off x="1654200" y="16887600"/>
          <a:ext cx="1272600" cy="992520"/>
        </a:xfrm>
        <a:prstGeom prst="can">
          <a:avLst>
            <a:gd name="adj" fmla="val 25000"/>
          </a:avLst>
        </a:prstGeom>
        <a:ln>
          <a:solidFill>
            <a:srgbClr val="4A7EBB"/>
          </a:solidFill>
          <a:round/>
        </a:ln>
        <a:effectLst>
          <a:outerShdw blurRad="40000" dist="20160" dir="5400000" rotWithShape="0">
            <a:srgbClr val="000000">
              <a:alpha val="38000"/>
            </a:srgbClr>
          </a:outerShdw>
        </a:effectLst>
      </xdr:spPr>
      <xdr:style>
        <a:lnRef idx="1">
          <a:schemeClr val="accent1"/>
        </a:lnRef>
        <a:fillRef idx="2">
          <a:schemeClr val="accent1"/>
        </a:fillRef>
        <a:effectRef idx="1">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 회원 DB</a:t>
          </a:r>
          <a:endParaRPr lang="en-US" sz="1100" b="0" strike="noStrike" spc="-1">
            <a:latin typeface="바탕"/>
          </a:endParaRPr>
        </a:p>
      </xdr:txBody>
    </xdr:sp>
    <xdr:clientData/>
  </xdr:twoCellAnchor>
  <xdr:twoCellAnchor>
    <xdr:from>
      <xdr:col>5</xdr:col>
      <xdr:colOff>24480</xdr:colOff>
      <xdr:row>70</xdr:row>
      <xdr:rowOff>196920</xdr:rowOff>
    </xdr:from>
    <xdr:to>
      <xdr:col>6</xdr:col>
      <xdr:colOff>170280</xdr:colOff>
      <xdr:row>71</xdr:row>
      <xdr:rowOff>11520</xdr:rowOff>
    </xdr:to>
    <xdr:sp macro="" textlink="">
      <xdr:nvSpPr>
        <xdr:cNvPr id="22" name="CustomShape 1">
          <a:extLst>
            <a:ext uri="{FF2B5EF4-FFF2-40B4-BE49-F238E27FC236}">
              <a16:creationId xmlns:a16="http://schemas.microsoft.com/office/drawing/2014/main" id="{00000000-0008-0000-0400-000016000000}"/>
            </a:ext>
          </a:extLst>
        </xdr:cNvPr>
        <xdr:cNvSpPr/>
      </xdr:nvSpPr>
      <xdr:spPr>
        <a:xfrm flipV="1">
          <a:off x="3045600" y="17450280"/>
          <a:ext cx="835920" cy="35640"/>
        </a:xfrm>
        <a:custGeom>
          <a:avLst/>
          <a:gdLst/>
          <a:ahLst/>
          <a:cxnLst/>
          <a:rect l="l" t="t" r="r" b="b"/>
          <a:pathLst>
            <a:path w="21600" h="21600">
              <a:moveTo>
                <a:pt x="0" y="0"/>
              </a:moveTo>
              <a:lnTo>
                <a:pt x="21600" y="21600"/>
              </a:lnTo>
            </a:path>
          </a:pathLst>
        </a:custGeom>
        <a:noFill/>
        <a:ln w="28440">
          <a:solidFill>
            <a:srgbClr val="4A7EBB"/>
          </a:solidFill>
          <a:round/>
          <a:headEnd type="triangle" w="med" len="me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5</xdr:col>
      <xdr:colOff>100800</xdr:colOff>
      <xdr:row>68</xdr:row>
      <xdr:rowOff>185040</xdr:rowOff>
    </xdr:from>
    <xdr:to>
      <xdr:col>6</xdr:col>
      <xdr:colOff>24120</xdr:colOff>
      <xdr:row>70</xdr:row>
      <xdr:rowOff>43920</xdr:rowOff>
    </xdr:to>
    <xdr:sp macro="" textlink="">
      <xdr:nvSpPr>
        <xdr:cNvPr id="23" name="CustomShape 1">
          <a:extLst>
            <a:ext uri="{FF2B5EF4-FFF2-40B4-BE49-F238E27FC236}">
              <a16:creationId xmlns:a16="http://schemas.microsoft.com/office/drawing/2014/main" id="{00000000-0008-0000-0400-000017000000}"/>
            </a:ext>
          </a:extLst>
        </xdr:cNvPr>
        <xdr:cNvSpPr/>
      </xdr:nvSpPr>
      <xdr:spPr>
        <a:xfrm>
          <a:off x="3121920" y="1699632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twoCellAnchor>
    <xdr:from>
      <xdr:col>12</xdr:col>
      <xdr:colOff>303840</xdr:colOff>
      <xdr:row>80</xdr:row>
      <xdr:rowOff>185040</xdr:rowOff>
    </xdr:from>
    <xdr:to>
      <xdr:col>12</xdr:col>
      <xdr:colOff>316080</xdr:colOff>
      <xdr:row>82</xdr:row>
      <xdr:rowOff>184680</xdr:rowOff>
    </xdr:to>
    <xdr:sp macro="" textlink="">
      <xdr:nvSpPr>
        <xdr:cNvPr id="24" name="CustomShape 1">
          <a:extLst>
            <a:ext uri="{FF2B5EF4-FFF2-40B4-BE49-F238E27FC236}">
              <a16:creationId xmlns:a16="http://schemas.microsoft.com/office/drawing/2014/main" id="{00000000-0008-0000-0400-000018000000}"/>
            </a:ext>
          </a:extLst>
        </xdr:cNvPr>
        <xdr:cNvSpPr/>
      </xdr:nvSpPr>
      <xdr:spPr>
        <a:xfrm flipH="1">
          <a:off x="8156880" y="19648080"/>
          <a:ext cx="12240" cy="441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30960</xdr:colOff>
      <xdr:row>79</xdr:row>
      <xdr:rowOff>120600</xdr:rowOff>
    </xdr:from>
    <xdr:to>
      <xdr:col>8</xdr:col>
      <xdr:colOff>614880</xdr:colOff>
      <xdr:row>80</xdr:row>
      <xdr:rowOff>183600</xdr:rowOff>
    </xdr:to>
    <xdr:sp macro="" textlink="">
      <xdr:nvSpPr>
        <xdr:cNvPr id="25" name="CustomShape 1">
          <a:extLst>
            <a:ext uri="{FF2B5EF4-FFF2-40B4-BE49-F238E27FC236}">
              <a16:creationId xmlns:a16="http://schemas.microsoft.com/office/drawing/2014/main" id="{00000000-0008-0000-0400-000019000000}"/>
            </a:ext>
          </a:extLst>
        </xdr:cNvPr>
        <xdr:cNvSpPr/>
      </xdr:nvSpPr>
      <xdr:spPr>
        <a:xfrm>
          <a:off x="5122800" y="19362960"/>
          <a:ext cx="583920" cy="283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6</xdr:col>
      <xdr:colOff>214200</xdr:colOff>
      <xdr:row>72</xdr:row>
      <xdr:rowOff>28440</xdr:rowOff>
    </xdr:from>
    <xdr:to>
      <xdr:col>6</xdr:col>
      <xdr:colOff>321840</xdr:colOff>
      <xdr:row>77</xdr:row>
      <xdr:rowOff>148680</xdr:rowOff>
    </xdr:to>
    <xdr:sp macro="" textlink="">
      <xdr:nvSpPr>
        <xdr:cNvPr id="26" name="CustomShape 1">
          <a:extLst>
            <a:ext uri="{FF2B5EF4-FFF2-40B4-BE49-F238E27FC236}">
              <a16:creationId xmlns:a16="http://schemas.microsoft.com/office/drawing/2014/main" id="{00000000-0008-0000-0400-00001A000000}"/>
            </a:ext>
          </a:extLst>
        </xdr:cNvPr>
        <xdr:cNvSpPr/>
      </xdr:nvSpPr>
      <xdr:spPr>
        <a:xfrm flipH="1">
          <a:off x="3925440" y="17723880"/>
          <a:ext cx="107640" cy="1225080"/>
        </a:xfrm>
        <a:prstGeom prst="bentConnector3">
          <a:avLst>
            <a:gd name="adj1" fmla="val -211765"/>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4</xdr:col>
      <xdr:colOff>666000</xdr:colOff>
      <xdr:row>74</xdr:row>
      <xdr:rowOff>38160</xdr:rowOff>
    </xdr:from>
    <xdr:to>
      <xdr:col>5</xdr:col>
      <xdr:colOff>589320</xdr:colOff>
      <xdr:row>75</xdr:row>
      <xdr:rowOff>101160</xdr:rowOff>
    </xdr:to>
    <xdr:sp macro="" textlink="">
      <xdr:nvSpPr>
        <xdr:cNvPr id="27" name="CustomShape 1">
          <a:extLst>
            <a:ext uri="{FF2B5EF4-FFF2-40B4-BE49-F238E27FC236}">
              <a16:creationId xmlns:a16="http://schemas.microsoft.com/office/drawing/2014/main" id="{00000000-0008-0000-0400-00001B000000}"/>
            </a:ext>
          </a:extLst>
        </xdr:cNvPr>
        <xdr:cNvSpPr/>
      </xdr:nvSpPr>
      <xdr:spPr>
        <a:xfrm>
          <a:off x="2997000" y="1817532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9</xdr:col>
      <xdr:colOff>132480</xdr:colOff>
      <xdr:row>73</xdr:row>
      <xdr:rowOff>50040</xdr:rowOff>
    </xdr:from>
    <xdr:to>
      <xdr:col>11</xdr:col>
      <xdr:colOff>30600</xdr:colOff>
      <xdr:row>83</xdr:row>
      <xdr:rowOff>33840</xdr:rowOff>
    </xdr:to>
    <xdr:sp macro="" textlink="">
      <xdr:nvSpPr>
        <xdr:cNvPr id="28" name="CustomShape 1">
          <a:extLst>
            <a:ext uri="{FF2B5EF4-FFF2-40B4-BE49-F238E27FC236}">
              <a16:creationId xmlns:a16="http://schemas.microsoft.com/office/drawing/2014/main" id="{00000000-0008-0000-0400-00001C000000}"/>
            </a:ext>
          </a:extLst>
        </xdr:cNvPr>
        <xdr:cNvSpPr/>
      </xdr:nvSpPr>
      <xdr:spPr>
        <a:xfrm flipV="1">
          <a:off x="5914440" y="17966520"/>
          <a:ext cx="1278720" cy="219348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545040</xdr:colOff>
      <xdr:row>77</xdr:row>
      <xdr:rowOff>57240</xdr:rowOff>
    </xdr:from>
    <xdr:to>
      <xdr:col>14</xdr:col>
      <xdr:colOff>131760</xdr:colOff>
      <xdr:row>80</xdr:row>
      <xdr:rowOff>88560</xdr:rowOff>
    </xdr:to>
    <xdr:sp macro="" textlink="">
      <xdr:nvSpPr>
        <xdr:cNvPr id="29" name="CustomShape 1">
          <a:extLst>
            <a:ext uri="{FF2B5EF4-FFF2-40B4-BE49-F238E27FC236}">
              <a16:creationId xmlns:a16="http://schemas.microsoft.com/office/drawing/2014/main" id="{00000000-0008-0000-0400-00001D000000}"/>
            </a:ext>
          </a:extLst>
        </xdr:cNvPr>
        <xdr:cNvSpPr/>
      </xdr:nvSpPr>
      <xdr:spPr>
        <a:xfrm>
          <a:off x="7017480" y="18857520"/>
          <a:ext cx="2347560" cy="69408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lstStyle/>
        <a:p>
          <a:pPr>
            <a:lnSpc>
              <a:spcPct val="100000"/>
            </a:lnSpc>
          </a:pPr>
          <a:r>
            <a:rPr lang="en-US" sz="1100" b="0" strike="noStrike" spc="-1">
              <a:solidFill>
                <a:srgbClr val="000000"/>
              </a:solidFill>
              <a:latin typeface="Calibri"/>
            </a:rPr>
            <a:t>입력 정보 일치?</a:t>
          </a:r>
          <a:endParaRPr lang="en-US" sz="1100" b="0" strike="noStrike" spc="-1">
            <a:latin typeface="바탕"/>
          </a:endParaRPr>
        </a:p>
      </xdr:txBody>
    </xdr:sp>
    <xdr:clientData/>
  </xdr:twoCellAnchor>
  <xdr:twoCellAnchor>
    <xdr:from>
      <xdr:col>12</xdr:col>
      <xdr:colOff>329400</xdr:colOff>
      <xdr:row>75</xdr:row>
      <xdr:rowOff>57240</xdr:rowOff>
    </xdr:from>
    <xdr:to>
      <xdr:col>12</xdr:col>
      <xdr:colOff>335520</xdr:colOff>
      <xdr:row>76</xdr:row>
      <xdr:rowOff>184680</xdr:rowOff>
    </xdr:to>
    <xdr:sp macro="" textlink="">
      <xdr:nvSpPr>
        <xdr:cNvPr id="30" name="CustomShape 1">
          <a:extLst>
            <a:ext uri="{FF2B5EF4-FFF2-40B4-BE49-F238E27FC236}">
              <a16:creationId xmlns:a16="http://schemas.microsoft.com/office/drawing/2014/main" id="{00000000-0008-0000-0400-00001E000000}"/>
            </a:ext>
          </a:extLst>
        </xdr:cNvPr>
        <xdr:cNvSpPr/>
      </xdr:nvSpPr>
      <xdr:spPr>
        <a:xfrm>
          <a:off x="8182440" y="18415440"/>
          <a:ext cx="6120" cy="348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15</xdr:col>
      <xdr:colOff>519480</xdr:colOff>
      <xdr:row>82</xdr:row>
      <xdr:rowOff>140760</xdr:rowOff>
    </xdr:from>
    <xdr:to>
      <xdr:col>17</xdr:col>
      <xdr:colOff>633600</xdr:colOff>
      <xdr:row>87</xdr:row>
      <xdr:rowOff>45000</xdr:rowOff>
    </xdr:to>
    <xdr:sp macro="" textlink="">
      <xdr:nvSpPr>
        <xdr:cNvPr id="31" name="CustomShape 1">
          <a:extLst>
            <a:ext uri="{FF2B5EF4-FFF2-40B4-BE49-F238E27FC236}">
              <a16:creationId xmlns:a16="http://schemas.microsoft.com/office/drawing/2014/main" id="{00000000-0008-0000-0400-00001F000000}"/>
            </a:ext>
          </a:extLst>
        </xdr:cNvPr>
        <xdr:cNvSpPr/>
      </xdr:nvSpPr>
      <xdr:spPr>
        <a:xfrm>
          <a:off x="10443240" y="20045880"/>
          <a:ext cx="1494360" cy="1009080"/>
        </a:xfrm>
        <a:prstGeom prst="can">
          <a:avLst>
            <a:gd name="adj" fmla="val 25000"/>
          </a:avLst>
        </a:prstGeom>
        <a:ln>
          <a:solidFill>
            <a:srgbClr val="4A7EBB"/>
          </a:solidFill>
          <a:round/>
        </a:ln>
        <a:effectLst>
          <a:outerShdw blurRad="40000" dist="20160" dir="5400000" rotWithShape="0">
            <a:srgbClr val="000000">
              <a:alpha val="38000"/>
            </a:srgbClr>
          </a:outerShdw>
        </a:effectLst>
      </xdr:spPr>
      <xdr:style>
        <a:lnRef idx="1">
          <a:schemeClr val="accent1"/>
        </a:lnRef>
        <a:fillRef idx="2">
          <a:schemeClr val="accent1"/>
        </a:fillRef>
        <a:effectRef idx="1">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 회원 DB</a:t>
          </a:r>
          <a:endParaRPr lang="en-US" sz="1100" b="0" strike="noStrike" spc="-1">
            <a:latin typeface="바탕"/>
          </a:endParaRPr>
        </a:p>
      </xdr:txBody>
    </xdr:sp>
    <xdr:clientData/>
  </xdr:twoCellAnchor>
  <xdr:twoCellAnchor>
    <xdr:from>
      <xdr:col>12</xdr:col>
      <xdr:colOff>411840</xdr:colOff>
      <xdr:row>81</xdr:row>
      <xdr:rowOff>0</xdr:rowOff>
    </xdr:from>
    <xdr:to>
      <xdr:col>13</xdr:col>
      <xdr:colOff>335160</xdr:colOff>
      <xdr:row>82</xdr:row>
      <xdr:rowOff>63000</xdr:rowOff>
    </xdr:to>
    <xdr:sp macro="" textlink="">
      <xdr:nvSpPr>
        <xdr:cNvPr id="32" name="CustomShape 1">
          <a:extLst>
            <a:ext uri="{FF2B5EF4-FFF2-40B4-BE49-F238E27FC236}">
              <a16:creationId xmlns:a16="http://schemas.microsoft.com/office/drawing/2014/main" id="{00000000-0008-0000-0400-000020000000}"/>
            </a:ext>
          </a:extLst>
        </xdr:cNvPr>
        <xdr:cNvSpPr/>
      </xdr:nvSpPr>
      <xdr:spPr>
        <a:xfrm>
          <a:off x="8264880" y="1968408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13</xdr:col>
      <xdr:colOff>639720</xdr:colOff>
      <xdr:row>73</xdr:row>
      <xdr:rowOff>50760</xdr:rowOff>
    </xdr:from>
    <xdr:to>
      <xdr:col>14</xdr:col>
      <xdr:colOff>131400</xdr:colOff>
      <xdr:row>78</xdr:row>
      <xdr:rowOff>180720</xdr:rowOff>
    </xdr:to>
    <xdr:sp macro="" textlink="">
      <xdr:nvSpPr>
        <xdr:cNvPr id="33" name="CustomShape 1">
          <a:extLst>
            <a:ext uri="{FF2B5EF4-FFF2-40B4-BE49-F238E27FC236}">
              <a16:creationId xmlns:a16="http://schemas.microsoft.com/office/drawing/2014/main" id="{00000000-0008-0000-0400-000021000000}"/>
            </a:ext>
          </a:extLst>
        </xdr:cNvPr>
        <xdr:cNvSpPr/>
      </xdr:nvSpPr>
      <xdr:spPr>
        <a:xfrm flipH="1" flipV="1">
          <a:off x="9182880" y="17967240"/>
          <a:ext cx="181800" cy="1234800"/>
        </a:xfrm>
        <a:prstGeom prst="bentConnector3">
          <a:avLst>
            <a:gd name="adj1" fmla="val -1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14</xdr:col>
      <xdr:colOff>411840</xdr:colOff>
      <xdr:row>75</xdr:row>
      <xdr:rowOff>139680</xdr:rowOff>
    </xdr:from>
    <xdr:to>
      <xdr:col>15</xdr:col>
      <xdr:colOff>335160</xdr:colOff>
      <xdr:row>76</xdr:row>
      <xdr:rowOff>191160</xdr:rowOff>
    </xdr:to>
    <xdr:sp macro="" textlink="">
      <xdr:nvSpPr>
        <xdr:cNvPr id="34" name="CustomShape 1">
          <a:extLst>
            <a:ext uri="{FF2B5EF4-FFF2-40B4-BE49-F238E27FC236}">
              <a16:creationId xmlns:a16="http://schemas.microsoft.com/office/drawing/2014/main" id="{00000000-0008-0000-0400-000022000000}"/>
            </a:ext>
          </a:extLst>
        </xdr:cNvPr>
        <xdr:cNvSpPr/>
      </xdr:nvSpPr>
      <xdr:spPr>
        <a:xfrm>
          <a:off x="9645120" y="18497880"/>
          <a:ext cx="613800" cy="27252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13</xdr:col>
      <xdr:colOff>549720</xdr:colOff>
      <xdr:row>85</xdr:row>
      <xdr:rowOff>11880</xdr:rowOff>
    </xdr:from>
    <xdr:to>
      <xdr:col>15</xdr:col>
      <xdr:colOff>279720</xdr:colOff>
      <xdr:row>85</xdr:row>
      <xdr:rowOff>12960</xdr:rowOff>
    </xdr:to>
    <xdr:sp macro="" textlink="">
      <xdr:nvSpPr>
        <xdr:cNvPr id="35" name="CustomShape 1">
          <a:extLst>
            <a:ext uri="{FF2B5EF4-FFF2-40B4-BE49-F238E27FC236}">
              <a16:creationId xmlns:a16="http://schemas.microsoft.com/office/drawing/2014/main" id="{00000000-0008-0000-0400-000023000000}"/>
            </a:ext>
          </a:extLst>
        </xdr:cNvPr>
        <xdr:cNvSpPr/>
      </xdr:nvSpPr>
      <xdr:spPr>
        <a:xfrm>
          <a:off x="9092880" y="20580120"/>
          <a:ext cx="1110600" cy="1080"/>
        </a:xfrm>
        <a:custGeom>
          <a:avLst/>
          <a:gdLst/>
          <a:ahLst/>
          <a:cxnLst/>
          <a:rect l="l" t="t" r="r" b="b"/>
          <a:pathLst>
            <a:path w="21600" h="21600">
              <a:moveTo>
                <a:pt x="0" y="0"/>
              </a:moveTo>
              <a:lnTo>
                <a:pt x="21600" y="21600"/>
              </a:lnTo>
            </a:path>
          </a:pathLst>
        </a:custGeom>
        <a:noFill/>
        <a:ln w="28440">
          <a:solidFill>
            <a:srgbClr val="4A7EBB"/>
          </a:solidFill>
          <a:round/>
          <a:headEnd type="triangle" w="med" len="me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14</xdr:col>
      <xdr:colOff>589680</xdr:colOff>
      <xdr:row>78</xdr:row>
      <xdr:rowOff>101520</xdr:rowOff>
    </xdr:from>
    <xdr:to>
      <xdr:col>15</xdr:col>
      <xdr:colOff>513000</xdr:colOff>
      <xdr:row>79</xdr:row>
      <xdr:rowOff>164520</xdr:rowOff>
    </xdr:to>
    <xdr:sp macro="" textlink="">
      <xdr:nvSpPr>
        <xdr:cNvPr id="36" name="CustomShape 1">
          <a:extLst>
            <a:ext uri="{FF2B5EF4-FFF2-40B4-BE49-F238E27FC236}">
              <a16:creationId xmlns:a16="http://schemas.microsoft.com/office/drawing/2014/main" id="{00000000-0008-0000-0400-000024000000}"/>
            </a:ext>
          </a:extLst>
        </xdr:cNvPr>
        <xdr:cNvSpPr/>
      </xdr:nvSpPr>
      <xdr:spPr>
        <a:xfrm>
          <a:off x="9822960" y="19122840"/>
          <a:ext cx="61380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twoCellAnchor>
    <xdr:from>
      <xdr:col>10</xdr:col>
      <xdr:colOff>621360</xdr:colOff>
      <xdr:row>88</xdr:row>
      <xdr:rowOff>152280</xdr:rowOff>
    </xdr:from>
    <xdr:to>
      <xdr:col>13</xdr:col>
      <xdr:colOff>570240</xdr:colOff>
      <xdr:row>92</xdr:row>
      <xdr:rowOff>75600</xdr:rowOff>
    </xdr:to>
    <xdr:sp macro="" textlink="">
      <xdr:nvSpPr>
        <xdr:cNvPr id="37" name="CustomShape 1">
          <a:extLst>
            <a:ext uri="{FF2B5EF4-FFF2-40B4-BE49-F238E27FC236}">
              <a16:creationId xmlns:a16="http://schemas.microsoft.com/office/drawing/2014/main" id="{00000000-0008-0000-0400-000025000000}"/>
            </a:ext>
          </a:extLst>
        </xdr:cNvPr>
        <xdr:cNvSpPr/>
      </xdr:nvSpPr>
      <xdr:spPr>
        <a:xfrm>
          <a:off x="7093800" y="21383280"/>
          <a:ext cx="2019600" cy="80712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메인 화면으로 이동한다.</a:t>
          </a:r>
          <a:endParaRPr lang="en-US" sz="1100" b="0" strike="noStrike" spc="-1">
            <a:latin typeface="바탕"/>
          </a:endParaRPr>
        </a:p>
      </xdr:txBody>
    </xdr:sp>
    <xdr:clientData/>
  </xdr:twoCellAnchor>
  <xdr:twoCellAnchor>
    <xdr:from>
      <xdr:col>10</xdr:col>
      <xdr:colOff>336960</xdr:colOff>
      <xdr:row>93</xdr:row>
      <xdr:rowOff>193320</xdr:rowOff>
    </xdr:from>
    <xdr:to>
      <xdr:col>14</xdr:col>
      <xdr:colOff>175680</xdr:colOff>
      <xdr:row>97</xdr:row>
      <xdr:rowOff>20520</xdr:rowOff>
    </xdr:to>
    <xdr:sp macro="" textlink="">
      <xdr:nvSpPr>
        <xdr:cNvPr id="38" name="CustomShape 1">
          <a:extLst>
            <a:ext uri="{FF2B5EF4-FFF2-40B4-BE49-F238E27FC236}">
              <a16:creationId xmlns:a16="http://schemas.microsoft.com/office/drawing/2014/main" id="{00000000-0008-0000-0400-000026000000}"/>
            </a:ext>
          </a:extLst>
        </xdr:cNvPr>
        <xdr:cNvSpPr/>
      </xdr:nvSpPr>
      <xdr:spPr>
        <a:xfrm>
          <a:off x="6809400" y="22529160"/>
          <a:ext cx="2599560" cy="71136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권한이 관리자?</a:t>
          </a:r>
          <a:endParaRPr lang="en-US" sz="1100" b="0" strike="noStrike" spc="-1">
            <a:latin typeface="바탕"/>
          </a:endParaRPr>
        </a:p>
      </xdr:txBody>
    </xdr:sp>
    <xdr:clientData/>
  </xdr:twoCellAnchor>
  <xdr:twoCellAnchor>
    <xdr:from>
      <xdr:col>6</xdr:col>
      <xdr:colOff>608760</xdr:colOff>
      <xdr:row>99</xdr:row>
      <xdr:rowOff>129600</xdr:rowOff>
    </xdr:from>
    <xdr:to>
      <xdr:col>9</xdr:col>
      <xdr:colOff>417960</xdr:colOff>
      <xdr:row>103</xdr:row>
      <xdr:rowOff>83880</xdr:rowOff>
    </xdr:to>
    <xdr:sp macro="" textlink="">
      <xdr:nvSpPr>
        <xdr:cNvPr id="39" name="CustomShape 1">
          <a:extLst>
            <a:ext uri="{FF2B5EF4-FFF2-40B4-BE49-F238E27FC236}">
              <a16:creationId xmlns:a16="http://schemas.microsoft.com/office/drawing/2014/main" id="{00000000-0008-0000-0400-000027000000}"/>
            </a:ext>
          </a:extLst>
        </xdr:cNvPr>
        <xdr:cNvSpPr/>
      </xdr:nvSpPr>
      <xdr:spPr>
        <a:xfrm>
          <a:off x="4320000" y="23791320"/>
          <a:ext cx="1879920" cy="8384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 회원 탈퇴기능 사용 가능</a:t>
          </a:r>
          <a:endParaRPr lang="en-US" sz="1100" b="0" strike="noStrike" spc="-1">
            <a:latin typeface="바탕"/>
          </a:endParaRPr>
        </a:p>
      </xdr:txBody>
    </xdr:sp>
    <xdr:clientData/>
  </xdr:twoCellAnchor>
  <xdr:twoCellAnchor>
    <xdr:from>
      <xdr:col>11</xdr:col>
      <xdr:colOff>18000</xdr:colOff>
      <xdr:row>99</xdr:row>
      <xdr:rowOff>110520</xdr:rowOff>
    </xdr:from>
    <xdr:to>
      <xdr:col>13</xdr:col>
      <xdr:colOff>487440</xdr:colOff>
      <xdr:row>104</xdr:row>
      <xdr:rowOff>100440</xdr:rowOff>
    </xdr:to>
    <xdr:sp macro="" textlink="">
      <xdr:nvSpPr>
        <xdr:cNvPr id="40" name="CustomShape 1">
          <a:extLst>
            <a:ext uri="{FF2B5EF4-FFF2-40B4-BE49-F238E27FC236}">
              <a16:creationId xmlns:a16="http://schemas.microsoft.com/office/drawing/2014/main" id="{00000000-0008-0000-0400-000028000000}"/>
            </a:ext>
          </a:extLst>
        </xdr:cNvPr>
        <xdr:cNvSpPr/>
      </xdr:nvSpPr>
      <xdr:spPr>
        <a:xfrm>
          <a:off x="7180560" y="23772240"/>
          <a:ext cx="1850040" cy="10947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전체 정보보기</a:t>
          </a:r>
          <a:endParaRPr lang="en-US" sz="1100" b="0" strike="noStrike" spc="-1">
            <a:latin typeface="바탕"/>
          </a:endParaRPr>
        </a:p>
        <a:p>
          <a:pPr algn="ctr">
            <a:lnSpc>
              <a:spcPct val="100000"/>
            </a:lnSpc>
          </a:pPr>
          <a:r>
            <a:rPr lang="en-US" sz="1100" b="0" strike="noStrike" spc="-1">
              <a:solidFill>
                <a:srgbClr val="000000"/>
              </a:solidFill>
              <a:latin typeface="Calibri"/>
            </a:rPr>
            <a:t>회원 정보 수정</a:t>
          </a:r>
          <a:endParaRPr lang="en-US" sz="1100" b="0" strike="noStrike" spc="-1">
            <a:latin typeface="바탕"/>
          </a:endParaRPr>
        </a:p>
        <a:p>
          <a:pPr algn="ctr">
            <a:lnSpc>
              <a:spcPct val="100000"/>
            </a:lnSpc>
          </a:pPr>
          <a:r>
            <a:rPr lang="en-US" sz="1100" b="0" strike="noStrike" spc="-1">
              <a:solidFill>
                <a:srgbClr val="000000"/>
              </a:solidFill>
              <a:latin typeface="Calibri"/>
            </a:rPr>
            <a:t>삭제처리 가능</a:t>
          </a:r>
          <a:endParaRPr lang="en-US" sz="1100" b="0" strike="noStrike" spc="-1">
            <a:latin typeface="바탕"/>
          </a:endParaRPr>
        </a:p>
      </xdr:txBody>
    </xdr:sp>
    <xdr:clientData/>
  </xdr:twoCellAnchor>
  <xdr:twoCellAnchor>
    <xdr:from>
      <xdr:col>3</xdr:col>
      <xdr:colOff>24480</xdr:colOff>
      <xdr:row>110</xdr:row>
      <xdr:rowOff>103320</xdr:rowOff>
    </xdr:from>
    <xdr:to>
      <xdr:col>5</xdr:col>
      <xdr:colOff>633600</xdr:colOff>
      <xdr:row>114</xdr:row>
      <xdr:rowOff>26640</xdr:rowOff>
    </xdr:to>
    <xdr:sp macro="" textlink="">
      <xdr:nvSpPr>
        <xdr:cNvPr id="41" name="CustomShape 1">
          <a:extLst>
            <a:ext uri="{FF2B5EF4-FFF2-40B4-BE49-F238E27FC236}">
              <a16:creationId xmlns:a16="http://schemas.microsoft.com/office/drawing/2014/main" id="{00000000-0008-0000-0400-000029000000}"/>
            </a:ext>
          </a:extLst>
        </xdr:cNvPr>
        <xdr:cNvSpPr/>
      </xdr:nvSpPr>
      <xdr:spPr>
        <a:xfrm>
          <a:off x="1665000" y="26195760"/>
          <a:ext cx="1989720" cy="80748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페이지로 이동한다.</a:t>
          </a:r>
          <a:endParaRPr lang="en-US" sz="1100" b="0" strike="noStrike" spc="-1">
            <a:latin typeface="바탕"/>
          </a:endParaRPr>
        </a:p>
      </xdr:txBody>
    </xdr:sp>
    <xdr:clientData/>
  </xdr:twoCellAnchor>
  <xdr:twoCellAnchor>
    <xdr:from>
      <xdr:col>11</xdr:col>
      <xdr:colOff>18000</xdr:colOff>
      <xdr:row>106</xdr:row>
      <xdr:rowOff>142560</xdr:rowOff>
    </xdr:from>
    <xdr:to>
      <xdr:col>13</xdr:col>
      <xdr:colOff>627120</xdr:colOff>
      <xdr:row>110</xdr:row>
      <xdr:rowOff>77760</xdr:rowOff>
    </xdr:to>
    <xdr:sp macro="" textlink="">
      <xdr:nvSpPr>
        <xdr:cNvPr id="42" name="CustomShape 1">
          <a:extLst>
            <a:ext uri="{FF2B5EF4-FFF2-40B4-BE49-F238E27FC236}">
              <a16:creationId xmlns:a16="http://schemas.microsoft.com/office/drawing/2014/main" id="{00000000-0008-0000-0400-00002A000000}"/>
            </a:ext>
          </a:extLst>
        </xdr:cNvPr>
        <xdr:cNvSpPr/>
      </xdr:nvSpPr>
      <xdr:spPr>
        <a:xfrm>
          <a:off x="7180560" y="25351200"/>
          <a:ext cx="1989720" cy="81900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각 기능의 페이지로 이동</a:t>
          </a:r>
          <a:endParaRPr lang="en-US" sz="1100" b="0" strike="noStrike" spc="-1">
            <a:latin typeface="바탕"/>
          </a:endParaRPr>
        </a:p>
      </xdr:txBody>
    </xdr:sp>
    <xdr:clientData/>
  </xdr:twoCellAnchor>
  <xdr:twoCellAnchor>
    <xdr:from>
      <xdr:col>10</xdr:col>
      <xdr:colOff>564120</xdr:colOff>
      <xdr:row>112</xdr:row>
      <xdr:rowOff>1800</xdr:rowOff>
    </xdr:from>
    <xdr:to>
      <xdr:col>14</xdr:col>
      <xdr:colOff>43200</xdr:colOff>
      <xdr:row>116</xdr:row>
      <xdr:rowOff>64800</xdr:rowOff>
    </xdr:to>
    <xdr:sp macro="" textlink="">
      <xdr:nvSpPr>
        <xdr:cNvPr id="43" name="CustomShape 1">
          <a:extLst>
            <a:ext uri="{FF2B5EF4-FFF2-40B4-BE49-F238E27FC236}">
              <a16:creationId xmlns:a16="http://schemas.microsoft.com/office/drawing/2014/main" id="{00000000-0008-0000-0400-00002B000000}"/>
            </a:ext>
          </a:extLst>
        </xdr:cNvPr>
        <xdr:cNvSpPr/>
      </xdr:nvSpPr>
      <xdr:spPr>
        <a:xfrm>
          <a:off x="7036560" y="26536320"/>
          <a:ext cx="2239920" cy="946800"/>
        </a:xfrm>
        <a:prstGeom prst="ellipse">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JJ 사이트 이용 완료</a:t>
          </a:r>
          <a:endParaRPr lang="en-US" sz="1100" b="0" strike="noStrike" spc="-1">
            <a:latin typeface="바탕"/>
          </a:endParaRPr>
        </a:p>
      </xdr:txBody>
    </xdr:sp>
    <xdr:clientData/>
  </xdr:twoCellAnchor>
  <xdr:twoCellAnchor>
    <xdr:from>
      <xdr:col>3</xdr:col>
      <xdr:colOff>75240</xdr:colOff>
      <xdr:row>104</xdr:row>
      <xdr:rowOff>116280</xdr:rowOff>
    </xdr:from>
    <xdr:to>
      <xdr:col>5</xdr:col>
      <xdr:colOff>544680</xdr:colOff>
      <xdr:row>108</xdr:row>
      <xdr:rowOff>58680</xdr:rowOff>
    </xdr:to>
    <xdr:sp macro="" textlink="">
      <xdr:nvSpPr>
        <xdr:cNvPr id="44" name="CustomShape 1">
          <a:extLst>
            <a:ext uri="{FF2B5EF4-FFF2-40B4-BE49-F238E27FC236}">
              <a16:creationId xmlns:a16="http://schemas.microsoft.com/office/drawing/2014/main" id="{00000000-0008-0000-0400-00002C000000}"/>
            </a:ext>
          </a:extLst>
        </xdr:cNvPr>
        <xdr:cNvSpPr/>
      </xdr:nvSpPr>
      <xdr:spPr>
        <a:xfrm>
          <a:off x="1715760" y="24882840"/>
          <a:ext cx="1850040" cy="8265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로그아웃한다.</a:t>
          </a:r>
          <a:endParaRPr lang="en-US" sz="1100" b="0" strike="noStrike" spc="-1">
            <a:latin typeface="바탕"/>
          </a:endParaRPr>
        </a:p>
      </xdr:txBody>
    </xdr:sp>
    <xdr:clientData/>
  </xdr:twoCellAnchor>
  <xdr:twoCellAnchor>
    <xdr:from>
      <xdr:col>6</xdr:col>
      <xdr:colOff>570600</xdr:colOff>
      <xdr:row>104</xdr:row>
      <xdr:rowOff>117000</xdr:rowOff>
    </xdr:from>
    <xdr:to>
      <xdr:col>9</xdr:col>
      <xdr:colOff>379800</xdr:colOff>
      <xdr:row>108</xdr:row>
      <xdr:rowOff>71280</xdr:rowOff>
    </xdr:to>
    <xdr:sp macro="" textlink="">
      <xdr:nvSpPr>
        <xdr:cNvPr id="45" name="CustomShape 1">
          <a:extLst>
            <a:ext uri="{FF2B5EF4-FFF2-40B4-BE49-F238E27FC236}">
              <a16:creationId xmlns:a16="http://schemas.microsoft.com/office/drawing/2014/main" id="{00000000-0008-0000-0400-00002D000000}"/>
            </a:ext>
          </a:extLst>
        </xdr:cNvPr>
        <xdr:cNvSpPr/>
      </xdr:nvSpPr>
      <xdr:spPr>
        <a:xfrm>
          <a:off x="4281840" y="24883560"/>
          <a:ext cx="1879920" cy="8384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 회원 탈퇴기능 사용 가능</a:t>
          </a:r>
          <a:endParaRPr lang="en-US" sz="1100" b="0" strike="noStrike" spc="-1">
            <a:latin typeface="바탕"/>
          </a:endParaRPr>
        </a:p>
      </xdr:txBody>
    </xdr:sp>
    <xdr:clientData/>
  </xdr:twoCellAnchor>
  <xdr:twoCellAnchor>
    <xdr:from>
      <xdr:col>6</xdr:col>
      <xdr:colOff>513360</xdr:colOff>
      <xdr:row>110</xdr:row>
      <xdr:rowOff>129600</xdr:rowOff>
    </xdr:from>
    <xdr:to>
      <xdr:col>9</xdr:col>
      <xdr:colOff>462240</xdr:colOff>
      <xdr:row>114</xdr:row>
      <xdr:rowOff>64800</xdr:rowOff>
    </xdr:to>
    <xdr:sp macro="" textlink="">
      <xdr:nvSpPr>
        <xdr:cNvPr id="46" name="CustomShape 1">
          <a:extLst>
            <a:ext uri="{FF2B5EF4-FFF2-40B4-BE49-F238E27FC236}">
              <a16:creationId xmlns:a16="http://schemas.microsoft.com/office/drawing/2014/main" id="{00000000-0008-0000-0400-00002E000000}"/>
            </a:ext>
          </a:extLst>
        </xdr:cNvPr>
        <xdr:cNvSpPr/>
      </xdr:nvSpPr>
      <xdr:spPr>
        <a:xfrm>
          <a:off x="4224600" y="26222040"/>
          <a:ext cx="2019600" cy="81936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탈퇴 페이지로 이동한다.</a:t>
          </a:r>
          <a:endParaRPr lang="en-US" sz="1100" b="0" strike="noStrike" spc="-1">
            <a:latin typeface="바탕"/>
          </a:endParaRPr>
        </a:p>
      </xdr:txBody>
    </xdr:sp>
    <xdr:clientData/>
  </xdr:twoCellAnchor>
  <xdr:twoCellAnchor>
    <xdr:from>
      <xdr:col>6</xdr:col>
      <xdr:colOff>348480</xdr:colOff>
      <xdr:row>116</xdr:row>
      <xdr:rowOff>8280</xdr:rowOff>
    </xdr:from>
    <xdr:to>
      <xdr:col>9</xdr:col>
      <xdr:colOff>608400</xdr:colOff>
      <xdr:row>119</xdr:row>
      <xdr:rowOff>129600</xdr:rowOff>
    </xdr:to>
    <xdr:sp macro="" textlink="">
      <xdr:nvSpPr>
        <xdr:cNvPr id="47" name="CustomShape 1">
          <a:extLst>
            <a:ext uri="{FF2B5EF4-FFF2-40B4-BE49-F238E27FC236}">
              <a16:creationId xmlns:a16="http://schemas.microsoft.com/office/drawing/2014/main" id="{00000000-0008-0000-0400-00002F000000}"/>
            </a:ext>
          </a:extLst>
        </xdr:cNvPr>
        <xdr:cNvSpPr/>
      </xdr:nvSpPr>
      <xdr:spPr>
        <a:xfrm>
          <a:off x="4059720" y="27426600"/>
          <a:ext cx="2330640" cy="78444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입력 정보 일치?</a:t>
          </a:r>
          <a:endParaRPr lang="en-US" sz="1100" b="0" strike="noStrike" spc="-1">
            <a:latin typeface="바탕"/>
          </a:endParaRPr>
        </a:p>
      </xdr:txBody>
    </xdr:sp>
    <xdr:clientData/>
  </xdr:twoCellAnchor>
  <xdr:twoCellAnchor>
    <xdr:from>
      <xdr:col>6</xdr:col>
      <xdr:colOff>558000</xdr:colOff>
      <xdr:row>121</xdr:row>
      <xdr:rowOff>84240</xdr:rowOff>
    </xdr:from>
    <xdr:to>
      <xdr:col>9</xdr:col>
      <xdr:colOff>367200</xdr:colOff>
      <xdr:row>125</xdr:row>
      <xdr:rowOff>26640</xdr:rowOff>
    </xdr:to>
    <xdr:sp macro="" textlink="">
      <xdr:nvSpPr>
        <xdr:cNvPr id="48" name="CustomShape 1">
          <a:extLst>
            <a:ext uri="{FF2B5EF4-FFF2-40B4-BE49-F238E27FC236}">
              <a16:creationId xmlns:a16="http://schemas.microsoft.com/office/drawing/2014/main" id="{00000000-0008-0000-0400-000030000000}"/>
            </a:ext>
          </a:extLst>
        </xdr:cNvPr>
        <xdr:cNvSpPr/>
      </xdr:nvSpPr>
      <xdr:spPr>
        <a:xfrm>
          <a:off x="4269240" y="2860776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탈퇴 성공</a:t>
          </a:r>
          <a:endParaRPr lang="en-US" sz="1100" b="0" strike="noStrike" spc="-1">
            <a:latin typeface="바탕"/>
          </a:endParaRPr>
        </a:p>
      </xdr:txBody>
    </xdr:sp>
    <xdr:clientData/>
  </xdr:twoCellAnchor>
  <xdr:twoCellAnchor>
    <xdr:from>
      <xdr:col>6</xdr:col>
      <xdr:colOff>507240</xdr:colOff>
      <xdr:row>127</xdr:row>
      <xdr:rowOff>59040</xdr:rowOff>
    </xdr:from>
    <xdr:to>
      <xdr:col>9</xdr:col>
      <xdr:colOff>456120</xdr:colOff>
      <xdr:row>130</xdr:row>
      <xdr:rowOff>186480</xdr:rowOff>
    </xdr:to>
    <xdr:sp macro="" textlink="">
      <xdr:nvSpPr>
        <xdr:cNvPr id="49" name="CustomShape 1">
          <a:extLst>
            <a:ext uri="{FF2B5EF4-FFF2-40B4-BE49-F238E27FC236}">
              <a16:creationId xmlns:a16="http://schemas.microsoft.com/office/drawing/2014/main" id="{00000000-0008-0000-0400-000031000000}"/>
            </a:ext>
          </a:extLst>
        </xdr:cNvPr>
        <xdr:cNvSpPr/>
      </xdr:nvSpPr>
      <xdr:spPr>
        <a:xfrm>
          <a:off x="4218480" y="29908440"/>
          <a:ext cx="2019600" cy="79020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메인 화면으로 이동한다.</a:t>
          </a:r>
          <a:endParaRPr lang="en-US" sz="1100" b="0" strike="noStrike" spc="-1">
            <a:latin typeface="바탕"/>
          </a:endParaRPr>
        </a:p>
      </xdr:txBody>
    </xdr:sp>
    <xdr:clientData/>
  </xdr:twoCellAnchor>
  <xdr:twoCellAnchor>
    <xdr:from>
      <xdr:col>9</xdr:col>
      <xdr:colOff>456120</xdr:colOff>
      <xdr:row>114</xdr:row>
      <xdr:rowOff>32760</xdr:rowOff>
    </xdr:from>
    <xdr:to>
      <xdr:col>10</xdr:col>
      <xdr:colOff>563760</xdr:colOff>
      <xdr:row>129</xdr:row>
      <xdr:rowOff>19800</xdr:rowOff>
    </xdr:to>
    <xdr:sp macro="" textlink="">
      <xdr:nvSpPr>
        <xdr:cNvPr id="50" name="CustomShape 1">
          <a:extLst>
            <a:ext uri="{FF2B5EF4-FFF2-40B4-BE49-F238E27FC236}">
              <a16:creationId xmlns:a16="http://schemas.microsoft.com/office/drawing/2014/main" id="{00000000-0008-0000-0400-000032000000}"/>
            </a:ext>
          </a:extLst>
        </xdr:cNvPr>
        <xdr:cNvSpPr/>
      </xdr:nvSpPr>
      <xdr:spPr>
        <a:xfrm flipV="1">
          <a:off x="6238080" y="27009360"/>
          <a:ext cx="798120" cy="330156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144360</xdr:colOff>
      <xdr:row>103</xdr:row>
      <xdr:rowOff>59040</xdr:rowOff>
    </xdr:from>
    <xdr:to>
      <xdr:col>8</xdr:col>
      <xdr:colOff>150480</xdr:colOff>
      <xdr:row>104</xdr:row>
      <xdr:rowOff>116640</xdr:rowOff>
    </xdr:to>
    <xdr:sp macro="" textlink="">
      <xdr:nvSpPr>
        <xdr:cNvPr id="51" name="CustomShape 1">
          <a:extLst>
            <a:ext uri="{FF2B5EF4-FFF2-40B4-BE49-F238E27FC236}">
              <a16:creationId xmlns:a16="http://schemas.microsoft.com/office/drawing/2014/main" id="{00000000-0008-0000-0400-000033000000}"/>
            </a:ext>
          </a:extLst>
        </xdr:cNvPr>
        <xdr:cNvSpPr/>
      </xdr:nvSpPr>
      <xdr:spPr>
        <a:xfrm flipH="1">
          <a:off x="5236200" y="24604920"/>
          <a:ext cx="6120" cy="2782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18000</xdr:colOff>
      <xdr:row>108</xdr:row>
      <xdr:rowOff>71640</xdr:rowOff>
    </xdr:from>
    <xdr:to>
      <xdr:col>8</xdr:col>
      <xdr:colOff>100080</xdr:colOff>
      <xdr:row>110</xdr:row>
      <xdr:rowOff>135720</xdr:rowOff>
    </xdr:to>
    <xdr:sp macro="" textlink="">
      <xdr:nvSpPr>
        <xdr:cNvPr id="52" name="CustomShape 1">
          <a:extLst>
            <a:ext uri="{FF2B5EF4-FFF2-40B4-BE49-F238E27FC236}">
              <a16:creationId xmlns:a16="http://schemas.microsoft.com/office/drawing/2014/main" id="{00000000-0008-0000-0400-000034000000}"/>
            </a:ext>
          </a:extLst>
        </xdr:cNvPr>
        <xdr:cNvSpPr/>
      </xdr:nvSpPr>
      <xdr:spPr>
        <a:xfrm flipH="1">
          <a:off x="5109840" y="25722360"/>
          <a:ext cx="82080" cy="5058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132480</xdr:colOff>
      <xdr:row>114</xdr:row>
      <xdr:rowOff>78120</xdr:rowOff>
    </xdr:from>
    <xdr:to>
      <xdr:col>8</xdr:col>
      <xdr:colOff>147960</xdr:colOff>
      <xdr:row>116</xdr:row>
      <xdr:rowOff>7920</xdr:rowOff>
    </xdr:to>
    <xdr:sp macro="" textlink="">
      <xdr:nvSpPr>
        <xdr:cNvPr id="53" name="CustomShape 1">
          <a:extLst>
            <a:ext uri="{FF2B5EF4-FFF2-40B4-BE49-F238E27FC236}">
              <a16:creationId xmlns:a16="http://schemas.microsoft.com/office/drawing/2014/main" id="{00000000-0008-0000-0400-000035000000}"/>
            </a:ext>
          </a:extLst>
        </xdr:cNvPr>
        <xdr:cNvSpPr/>
      </xdr:nvSpPr>
      <xdr:spPr>
        <a:xfrm>
          <a:off x="5224320" y="27054720"/>
          <a:ext cx="15480" cy="3715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119880</xdr:colOff>
      <xdr:row>119</xdr:row>
      <xdr:rowOff>123480</xdr:rowOff>
    </xdr:from>
    <xdr:to>
      <xdr:col>8</xdr:col>
      <xdr:colOff>135360</xdr:colOff>
      <xdr:row>121</xdr:row>
      <xdr:rowOff>65160</xdr:rowOff>
    </xdr:to>
    <xdr:sp macro="" textlink="">
      <xdr:nvSpPr>
        <xdr:cNvPr id="54" name="CustomShape 1">
          <a:extLst>
            <a:ext uri="{FF2B5EF4-FFF2-40B4-BE49-F238E27FC236}">
              <a16:creationId xmlns:a16="http://schemas.microsoft.com/office/drawing/2014/main" id="{00000000-0008-0000-0400-000036000000}"/>
            </a:ext>
          </a:extLst>
        </xdr:cNvPr>
        <xdr:cNvSpPr/>
      </xdr:nvSpPr>
      <xdr:spPr>
        <a:xfrm>
          <a:off x="5211720" y="28204920"/>
          <a:ext cx="15480" cy="3837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119880</xdr:colOff>
      <xdr:row>125</xdr:row>
      <xdr:rowOff>27360</xdr:rowOff>
    </xdr:from>
    <xdr:to>
      <xdr:col>8</xdr:col>
      <xdr:colOff>151200</xdr:colOff>
      <xdr:row>127</xdr:row>
      <xdr:rowOff>58680</xdr:rowOff>
    </xdr:to>
    <xdr:sp macro="" textlink="">
      <xdr:nvSpPr>
        <xdr:cNvPr id="55" name="CustomShape 1">
          <a:extLst>
            <a:ext uri="{FF2B5EF4-FFF2-40B4-BE49-F238E27FC236}">
              <a16:creationId xmlns:a16="http://schemas.microsoft.com/office/drawing/2014/main" id="{00000000-0008-0000-0400-000037000000}"/>
            </a:ext>
          </a:extLst>
        </xdr:cNvPr>
        <xdr:cNvSpPr/>
      </xdr:nvSpPr>
      <xdr:spPr>
        <a:xfrm>
          <a:off x="5211720" y="29434680"/>
          <a:ext cx="31320" cy="4734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310320</xdr:colOff>
      <xdr:row>110</xdr:row>
      <xdr:rowOff>71640</xdr:rowOff>
    </xdr:from>
    <xdr:to>
      <xdr:col>12</xdr:col>
      <xdr:colOff>325800</xdr:colOff>
      <xdr:row>112</xdr:row>
      <xdr:rowOff>1440</xdr:rowOff>
    </xdr:to>
    <xdr:sp macro="" textlink="">
      <xdr:nvSpPr>
        <xdr:cNvPr id="56" name="CustomShape 1">
          <a:extLst>
            <a:ext uri="{FF2B5EF4-FFF2-40B4-BE49-F238E27FC236}">
              <a16:creationId xmlns:a16="http://schemas.microsoft.com/office/drawing/2014/main" id="{00000000-0008-0000-0400-000038000000}"/>
            </a:ext>
          </a:extLst>
        </xdr:cNvPr>
        <xdr:cNvSpPr/>
      </xdr:nvSpPr>
      <xdr:spPr>
        <a:xfrm>
          <a:off x="8163360" y="26164080"/>
          <a:ext cx="15480" cy="3718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280800</xdr:colOff>
      <xdr:row>104</xdr:row>
      <xdr:rowOff>115920</xdr:rowOff>
    </xdr:from>
    <xdr:to>
      <xdr:col>12</xdr:col>
      <xdr:colOff>285120</xdr:colOff>
      <xdr:row>106</xdr:row>
      <xdr:rowOff>157320</xdr:rowOff>
    </xdr:to>
    <xdr:sp macro="" textlink="">
      <xdr:nvSpPr>
        <xdr:cNvPr id="57" name="CustomShape 1">
          <a:extLst>
            <a:ext uri="{FF2B5EF4-FFF2-40B4-BE49-F238E27FC236}">
              <a16:creationId xmlns:a16="http://schemas.microsoft.com/office/drawing/2014/main" id="{00000000-0008-0000-0400-000039000000}"/>
            </a:ext>
          </a:extLst>
        </xdr:cNvPr>
        <xdr:cNvSpPr/>
      </xdr:nvSpPr>
      <xdr:spPr>
        <a:xfrm>
          <a:off x="8133840" y="24882480"/>
          <a:ext cx="4320" cy="483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265680</xdr:colOff>
      <xdr:row>97</xdr:row>
      <xdr:rowOff>25560</xdr:rowOff>
    </xdr:from>
    <xdr:to>
      <xdr:col>12</xdr:col>
      <xdr:colOff>281160</xdr:colOff>
      <xdr:row>99</xdr:row>
      <xdr:rowOff>103320</xdr:rowOff>
    </xdr:to>
    <xdr:sp macro="" textlink="">
      <xdr:nvSpPr>
        <xdr:cNvPr id="58" name="CustomShape 1">
          <a:extLst>
            <a:ext uri="{FF2B5EF4-FFF2-40B4-BE49-F238E27FC236}">
              <a16:creationId xmlns:a16="http://schemas.microsoft.com/office/drawing/2014/main" id="{00000000-0008-0000-0400-00003A000000}"/>
            </a:ext>
          </a:extLst>
        </xdr:cNvPr>
        <xdr:cNvSpPr/>
      </xdr:nvSpPr>
      <xdr:spPr>
        <a:xfrm>
          <a:off x="8118720" y="23245560"/>
          <a:ext cx="15480" cy="519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246600</xdr:colOff>
      <xdr:row>92</xdr:row>
      <xdr:rowOff>50760</xdr:rowOff>
    </xdr:from>
    <xdr:to>
      <xdr:col>12</xdr:col>
      <xdr:colOff>262080</xdr:colOff>
      <xdr:row>93</xdr:row>
      <xdr:rowOff>184680</xdr:rowOff>
    </xdr:to>
    <xdr:sp macro="" textlink="">
      <xdr:nvSpPr>
        <xdr:cNvPr id="59" name="CustomShape 1">
          <a:extLst>
            <a:ext uri="{FF2B5EF4-FFF2-40B4-BE49-F238E27FC236}">
              <a16:creationId xmlns:a16="http://schemas.microsoft.com/office/drawing/2014/main" id="{00000000-0008-0000-0400-00003B000000}"/>
            </a:ext>
          </a:extLst>
        </xdr:cNvPr>
        <xdr:cNvSpPr/>
      </xdr:nvSpPr>
      <xdr:spPr>
        <a:xfrm>
          <a:off x="8099640" y="22165560"/>
          <a:ext cx="15480" cy="3549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176760</xdr:colOff>
      <xdr:row>87</xdr:row>
      <xdr:rowOff>0</xdr:rowOff>
    </xdr:from>
    <xdr:to>
      <xdr:col>12</xdr:col>
      <xdr:colOff>192240</xdr:colOff>
      <xdr:row>88</xdr:row>
      <xdr:rowOff>145800</xdr:rowOff>
    </xdr:to>
    <xdr:sp macro="" textlink="">
      <xdr:nvSpPr>
        <xdr:cNvPr id="60" name="CustomShape 1">
          <a:extLst>
            <a:ext uri="{FF2B5EF4-FFF2-40B4-BE49-F238E27FC236}">
              <a16:creationId xmlns:a16="http://schemas.microsoft.com/office/drawing/2014/main" id="{00000000-0008-0000-0400-00003C000000}"/>
            </a:ext>
          </a:extLst>
        </xdr:cNvPr>
        <xdr:cNvSpPr/>
      </xdr:nvSpPr>
      <xdr:spPr>
        <a:xfrm>
          <a:off x="8029800" y="21009960"/>
          <a:ext cx="15480" cy="36684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373680</xdr:colOff>
      <xdr:row>119</xdr:row>
      <xdr:rowOff>155160</xdr:rowOff>
    </xdr:from>
    <xdr:to>
      <xdr:col>9</xdr:col>
      <xdr:colOff>297000</xdr:colOff>
      <xdr:row>121</xdr:row>
      <xdr:rowOff>14040</xdr:rowOff>
    </xdr:to>
    <xdr:sp macro="" textlink="">
      <xdr:nvSpPr>
        <xdr:cNvPr id="61" name="CustomShape 1">
          <a:extLst>
            <a:ext uri="{FF2B5EF4-FFF2-40B4-BE49-F238E27FC236}">
              <a16:creationId xmlns:a16="http://schemas.microsoft.com/office/drawing/2014/main" id="{00000000-0008-0000-0400-00003D000000}"/>
            </a:ext>
          </a:extLst>
        </xdr:cNvPr>
        <xdr:cNvSpPr/>
      </xdr:nvSpPr>
      <xdr:spPr>
        <a:xfrm>
          <a:off x="5465520" y="2823660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6</xdr:col>
      <xdr:colOff>52920</xdr:colOff>
      <xdr:row>111</xdr:row>
      <xdr:rowOff>52560</xdr:rowOff>
    </xdr:from>
    <xdr:to>
      <xdr:col>6</xdr:col>
      <xdr:colOff>474840</xdr:colOff>
      <xdr:row>111</xdr:row>
      <xdr:rowOff>71280</xdr:rowOff>
    </xdr:to>
    <xdr:sp macro="" textlink="">
      <xdr:nvSpPr>
        <xdr:cNvPr id="62" name="CustomShape 1">
          <a:extLst>
            <a:ext uri="{FF2B5EF4-FFF2-40B4-BE49-F238E27FC236}">
              <a16:creationId xmlns:a16="http://schemas.microsoft.com/office/drawing/2014/main" id="{00000000-0008-0000-0400-00003E000000}"/>
            </a:ext>
          </a:extLst>
        </xdr:cNvPr>
        <xdr:cNvSpPr/>
      </xdr:nvSpPr>
      <xdr:spPr>
        <a:xfrm flipH="1">
          <a:off x="3764160" y="26366040"/>
          <a:ext cx="421920" cy="18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6</xdr:col>
      <xdr:colOff>40320</xdr:colOff>
      <xdr:row>106</xdr:row>
      <xdr:rowOff>84240</xdr:rowOff>
    </xdr:from>
    <xdr:to>
      <xdr:col>6</xdr:col>
      <xdr:colOff>462240</xdr:colOff>
      <xdr:row>106</xdr:row>
      <xdr:rowOff>102960</xdr:rowOff>
    </xdr:to>
    <xdr:sp macro="" textlink="">
      <xdr:nvSpPr>
        <xdr:cNvPr id="63" name="CustomShape 1">
          <a:extLst>
            <a:ext uri="{FF2B5EF4-FFF2-40B4-BE49-F238E27FC236}">
              <a16:creationId xmlns:a16="http://schemas.microsoft.com/office/drawing/2014/main" id="{00000000-0008-0000-0400-00003F000000}"/>
            </a:ext>
          </a:extLst>
        </xdr:cNvPr>
        <xdr:cNvSpPr/>
      </xdr:nvSpPr>
      <xdr:spPr>
        <a:xfrm flipH="1">
          <a:off x="3751560" y="25292880"/>
          <a:ext cx="421920" cy="18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4</xdr:col>
      <xdr:colOff>297360</xdr:colOff>
      <xdr:row>108</xdr:row>
      <xdr:rowOff>117000</xdr:rowOff>
    </xdr:from>
    <xdr:to>
      <xdr:col>4</xdr:col>
      <xdr:colOff>312840</xdr:colOff>
      <xdr:row>110</xdr:row>
      <xdr:rowOff>58680</xdr:rowOff>
    </xdr:to>
    <xdr:sp macro="" textlink="">
      <xdr:nvSpPr>
        <xdr:cNvPr id="64" name="CustomShape 1">
          <a:extLst>
            <a:ext uri="{FF2B5EF4-FFF2-40B4-BE49-F238E27FC236}">
              <a16:creationId xmlns:a16="http://schemas.microsoft.com/office/drawing/2014/main" id="{00000000-0008-0000-0400-000040000000}"/>
            </a:ext>
          </a:extLst>
        </xdr:cNvPr>
        <xdr:cNvSpPr/>
      </xdr:nvSpPr>
      <xdr:spPr>
        <a:xfrm>
          <a:off x="2628360" y="25767720"/>
          <a:ext cx="15480" cy="3834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602280</xdr:colOff>
      <xdr:row>97</xdr:row>
      <xdr:rowOff>50760</xdr:rowOff>
    </xdr:from>
    <xdr:to>
      <xdr:col>13</xdr:col>
      <xdr:colOff>525600</xdr:colOff>
      <xdr:row>99</xdr:row>
      <xdr:rowOff>45720</xdr:rowOff>
    </xdr:to>
    <xdr:sp macro="" textlink="">
      <xdr:nvSpPr>
        <xdr:cNvPr id="65" name="CustomShape 1">
          <a:extLst>
            <a:ext uri="{FF2B5EF4-FFF2-40B4-BE49-F238E27FC236}">
              <a16:creationId xmlns:a16="http://schemas.microsoft.com/office/drawing/2014/main" id="{00000000-0008-0000-0400-000041000000}"/>
            </a:ext>
          </a:extLst>
        </xdr:cNvPr>
        <xdr:cNvSpPr/>
      </xdr:nvSpPr>
      <xdr:spPr>
        <a:xfrm>
          <a:off x="8455320" y="23270760"/>
          <a:ext cx="613440" cy="436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6</xdr:col>
      <xdr:colOff>348480</xdr:colOff>
      <xdr:row>112</xdr:row>
      <xdr:rowOff>103320</xdr:rowOff>
    </xdr:from>
    <xdr:to>
      <xdr:col>6</xdr:col>
      <xdr:colOff>513360</xdr:colOff>
      <xdr:row>117</xdr:row>
      <xdr:rowOff>170640</xdr:rowOff>
    </xdr:to>
    <xdr:sp macro="" textlink="">
      <xdr:nvSpPr>
        <xdr:cNvPr id="66" name="CustomShape 1">
          <a:extLst>
            <a:ext uri="{FF2B5EF4-FFF2-40B4-BE49-F238E27FC236}">
              <a16:creationId xmlns:a16="http://schemas.microsoft.com/office/drawing/2014/main" id="{00000000-0008-0000-0400-000042000000}"/>
            </a:ext>
          </a:extLst>
        </xdr:cNvPr>
        <xdr:cNvSpPr/>
      </xdr:nvSpPr>
      <xdr:spPr>
        <a:xfrm flipH="1">
          <a:off x="4059720" y="26637840"/>
          <a:ext cx="164880" cy="1172160"/>
        </a:xfrm>
        <a:prstGeom prst="bentConnector3">
          <a:avLst>
            <a:gd name="adj1" fmla="val -138462"/>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5</xdr:col>
      <xdr:colOff>145080</xdr:colOff>
      <xdr:row>115</xdr:row>
      <xdr:rowOff>39960</xdr:rowOff>
    </xdr:from>
    <xdr:to>
      <xdr:col>6</xdr:col>
      <xdr:colOff>68400</xdr:colOff>
      <xdr:row>116</xdr:row>
      <xdr:rowOff>102960</xdr:rowOff>
    </xdr:to>
    <xdr:sp macro="" textlink="">
      <xdr:nvSpPr>
        <xdr:cNvPr id="67" name="CustomShape 1">
          <a:extLst>
            <a:ext uri="{FF2B5EF4-FFF2-40B4-BE49-F238E27FC236}">
              <a16:creationId xmlns:a16="http://schemas.microsoft.com/office/drawing/2014/main" id="{00000000-0008-0000-0400-000043000000}"/>
            </a:ext>
          </a:extLst>
        </xdr:cNvPr>
        <xdr:cNvSpPr/>
      </xdr:nvSpPr>
      <xdr:spPr>
        <a:xfrm>
          <a:off x="3166200" y="27237600"/>
          <a:ext cx="613440" cy="283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7</xdr:col>
      <xdr:colOff>640440</xdr:colOff>
      <xdr:row>95</xdr:row>
      <xdr:rowOff>165600</xdr:rowOff>
    </xdr:from>
    <xdr:to>
      <xdr:col>10</xdr:col>
      <xdr:colOff>336600</xdr:colOff>
      <xdr:row>99</xdr:row>
      <xdr:rowOff>151560</xdr:rowOff>
    </xdr:to>
    <xdr:sp macro="" textlink="">
      <xdr:nvSpPr>
        <xdr:cNvPr id="68" name="CustomShape 1">
          <a:extLst>
            <a:ext uri="{FF2B5EF4-FFF2-40B4-BE49-F238E27FC236}">
              <a16:creationId xmlns:a16="http://schemas.microsoft.com/office/drawing/2014/main" id="{00000000-0008-0000-0400-000044000000}"/>
            </a:ext>
          </a:extLst>
        </xdr:cNvPr>
        <xdr:cNvSpPr/>
      </xdr:nvSpPr>
      <xdr:spPr>
        <a:xfrm flipV="1">
          <a:off x="5042160" y="22943520"/>
          <a:ext cx="1766880" cy="869760"/>
        </a:xfrm>
        <a:prstGeom prst="bentConnector2">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488160</xdr:colOff>
      <xdr:row>94</xdr:row>
      <xdr:rowOff>19080</xdr:rowOff>
    </xdr:from>
    <xdr:to>
      <xdr:col>9</xdr:col>
      <xdr:colOff>411480</xdr:colOff>
      <xdr:row>95</xdr:row>
      <xdr:rowOff>82080</xdr:rowOff>
    </xdr:to>
    <xdr:sp macro="" textlink="">
      <xdr:nvSpPr>
        <xdr:cNvPr id="69" name="CustomShape 1">
          <a:extLst>
            <a:ext uri="{FF2B5EF4-FFF2-40B4-BE49-F238E27FC236}">
              <a16:creationId xmlns:a16="http://schemas.microsoft.com/office/drawing/2014/main" id="{00000000-0008-0000-0400-000045000000}"/>
            </a:ext>
          </a:extLst>
        </xdr:cNvPr>
        <xdr:cNvSpPr/>
      </xdr:nvSpPr>
      <xdr:spPr>
        <a:xfrm>
          <a:off x="5580000" y="2257596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14</xdr:col>
      <xdr:colOff>171360</xdr:colOff>
      <xdr:row>83</xdr:row>
      <xdr:rowOff>71640</xdr:rowOff>
    </xdr:from>
    <xdr:to>
      <xdr:col>15</xdr:col>
      <xdr:colOff>94680</xdr:colOff>
      <xdr:row>84</xdr:row>
      <xdr:rowOff>134640</xdr:rowOff>
    </xdr:to>
    <xdr:sp macro="" textlink="">
      <xdr:nvSpPr>
        <xdr:cNvPr id="70" name="CustomShape 1">
          <a:extLst>
            <a:ext uri="{FF2B5EF4-FFF2-40B4-BE49-F238E27FC236}">
              <a16:creationId xmlns:a16="http://schemas.microsoft.com/office/drawing/2014/main" id="{00000000-0008-0000-0400-000046000000}"/>
            </a:ext>
          </a:extLst>
        </xdr:cNvPr>
        <xdr:cNvSpPr/>
      </xdr:nvSpPr>
      <xdr:spPr>
        <a:xfrm>
          <a:off x="9404640" y="20197800"/>
          <a:ext cx="61380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1548848</xdr:colOff>
      <xdr:row>237</xdr:row>
      <xdr:rowOff>240196</xdr:rowOff>
    </xdr:from>
    <xdr:to>
      <xdr:col>3</xdr:col>
      <xdr:colOff>331304</xdr:colOff>
      <xdr:row>246</xdr:row>
      <xdr:rowOff>74544</xdr:rowOff>
    </xdr:to>
    <xdr:cxnSp macro="">
      <xdr:nvCxnSpPr>
        <xdr:cNvPr id="3" name="직선 화살표 연결선 2">
          <a:extLst>
            <a:ext uri="{FF2B5EF4-FFF2-40B4-BE49-F238E27FC236}">
              <a16:creationId xmlns:a16="http://schemas.microsoft.com/office/drawing/2014/main" id="{00000000-0008-0000-0600-000003000000}"/>
            </a:ext>
          </a:extLst>
        </xdr:cNvPr>
        <xdr:cNvCxnSpPr/>
      </xdr:nvCxnSpPr>
      <xdr:spPr>
        <a:xfrm>
          <a:off x="2749826" y="66409957"/>
          <a:ext cx="563217" cy="2667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58</xdr:row>
      <xdr:rowOff>0</xdr:rowOff>
    </xdr:from>
    <xdr:to>
      <xdr:col>19</xdr:col>
      <xdr:colOff>676080</xdr:colOff>
      <xdr:row>98</xdr:row>
      <xdr:rowOff>41760</xdr:rowOff>
    </xdr:to>
    <xdr:pic>
      <xdr:nvPicPr>
        <xdr:cNvPr id="69" name="_x176983304">
          <a:extLst>
            <a:ext uri="{FF2B5EF4-FFF2-40B4-BE49-F238E27FC236}">
              <a16:creationId xmlns:a16="http://schemas.microsoft.com/office/drawing/2014/main" id="{00000000-0008-0000-0A00-000045000000}"/>
            </a:ext>
          </a:extLst>
        </xdr:cNvPr>
        <xdr:cNvPicPr/>
      </xdr:nvPicPr>
      <xdr:blipFill>
        <a:blip xmlns:r="http://schemas.openxmlformats.org/officeDocument/2006/relationships" r:embed="rId1"/>
        <a:stretch/>
      </xdr:blipFill>
      <xdr:spPr>
        <a:xfrm>
          <a:off x="237240" y="14007240"/>
          <a:ext cx="12952080" cy="8880840"/>
        </a:xfrm>
        <a:prstGeom prst="rect">
          <a:avLst/>
        </a:prstGeom>
        <a:ln>
          <a:noFill/>
        </a:ln>
      </xdr:spPr>
    </xdr:pic>
    <xdr:clientData/>
  </xdr:twoCellAnchor>
  <xdr:twoCellAnchor editAs="oneCell">
    <xdr:from>
      <xdr:col>1</xdr:col>
      <xdr:colOff>38160</xdr:colOff>
      <xdr:row>15</xdr:row>
      <xdr:rowOff>47520</xdr:rowOff>
    </xdr:from>
    <xdr:to>
      <xdr:col>19</xdr:col>
      <xdr:colOff>596520</xdr:colOff>
      <xdr:row>55</xdr:row>
      <xdr:rowOff>120240</xdr:rowOff>
    </xdr:to>
    <xdr:pic>
      <xdr:nvPicPr>
        <xdr:cNvPr id="70" name="shape1026">
          <a:extLst>
            <a:ext uri="{FF2B5EF4-FFF2-40B4-BE49-F238E27FC236}">
              <a16:creationId xmlns:a16="http://schemas.microsoft.com/office/drawing/2014/main" id="{00000000-0008-0000-0A00-000046000000}"/>
            </a:ext>
          </a:extLst>
        </xdr:cNvPr>
        <xdr:cNvPicPr/>
      </xdr:nvPicPr>
      <xdr:blipFill>
        <a:blip xmlns:r="http://schemas.openxmlformats.org/officeDocument/2006/relationships" r:embed="rId2"/>
        <a:stretch/>
      </xdr:blipFill>
      <xdr:spPr>
        <a:xfrm>
          <a:off x="275400" y="4438440"/>
          <a:ext cx="12834360" cy="891180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231480</xdr:colOff>
      <xdr:row>16</xdr:row>
      <xdr:rowOff>176760</xdr:rowOff>
    </xdr:from>
    <xdr:to>
      <xdr:col>19</xdr:col>
      <xdr:colOff>487080</xdr:colOff>
      <xdr:row>18</xdr:row>
      <xdr:rowOff>218880</xdr:rowOff>
    </xdr:to>
    <xdr:sp macro="" textlink="">
      <xdr:nvSpPr>
        <xdr:cNvPr id="71" name="CustomShape 1">
          <a:extLst>
            <a:ext uri="{FF2B5EF4-FFF2-40B4-BE49-F238E27FC236}">
              <a16:creationId xmlns:a16="http://schemas.microsoft.com/office/drawing/2014/main" id="{00000000-0008-0000-0B00-000047000000}"/>
            </a:ext>
          </a:extLst>
        </xdr:cNvPr>
        <xdr:cNvSpPr/>
      </xdr:nvSpPr>
      <xdr:spPr>
        <a:xfrm>
          <a:off x="231480" y="6238440"/>
          <a:ext cx="12940200" cy="803880"/>
        </a:xfrm>
        <a:prstGeom prst="rect">
          <a:avLst/>
        </a:prstGeom>
        <a:noFill/>
        <a:ln>
          <a:solidFill>
            <a:schemeClr val="accent5"/>
          </a:solid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1100" b="0" strike="noStrike" spc="-1">
              <a:solidFill>
                <a:srgbClr val="000000"/>
              </a:solidFill>
              <a:latin typeface="Calibri"/>
            </a:rPr>
            <a:t>create table 뭐뭐</a:t>
          </a: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403560</xdr:colOff>
      <xdr:row>15</xdr:row>
      <xdr:rowOff>235440</xdr:rowOff>
    </xdr:from>
    <xdr:to>
      <xdr:col>10</xdr:col>
      <xdr:colOff>213120</xdr:colOff>
      <xdr:row>28</xdr:row>
      <xdr:rowOff>15480</xdr:rowOff>
    </xdr:to>
    <xdr:pic>
      <xdr:nvPicPr>
        <xdr:cNvPr id="72" name="그림 2">
          <a:extLst>
            <a:ext uri="{FF2B5EF4-FFF2-40B4-BE49-F238E27FC236}">
              <a16:creationId xmlns:a16="http://schemas.microsoft.com/office/drawing/2014/main" id="{00000000-0008-0000-0F00-000048000000}"/>
            </a:ext>
          </a:extLst>
        </xdr:cNvPr>
        <xdr:cNvPicPr/>
      </xdr:nvPicPr>
      <xdr:blipFill>
        <a:blip xmlns:r="http://schemas.openxmlformats.org/officeDocument/2006/relationships" r:embed="rId1"/>
        <a:stretch/>
      </xdr:blipFill>
      <xdr:spPr>
        <a:xfrm>
          <a:off x="663840" y="5611320"/>
          <a:ext cx="6021720" cy="4732920"/>
        </a:xfrm>
        <a:prstGeom prst="rect">
          <a:avLst/>
        </a:prstGeom>
        <a:ln>
          <a:noFill/>
        </a:ln>
      </xdr:spPr>
    </xdr:pic>
    <xdr:clientData/>
  </xdr:twoCellAnchor>
  <xdr:twoCellAnchor editAs="oneCell">
    <xdr:from>
      <xdr:col>10</xdr:col>
      <xdr:colOff>425880</xdr:colOff>
      <xdr:row>15</xdr:row>
      <xdr:rowOff>235440</xdr:rowOff>
    </xdr:from>
    <xdr:to>
      <xdr:col>19</xdr:col>
      <xdr:colOff>235080</xdr:colOff>
      <xdr:row>28</xdr:row>
      <xdr:rowOff>33480</xdr:rowOff>
    </xdr:to>
    <xdr:pic>
      <xdr:nvPicPr>
        <xdr:cNvPr id="73" name="그림 3">
          <a:extLst>
            <a:ext uri="{FF2B5EF4-FFF2-40B4-BE49-F238E27FC236}">
              <a16:creationId xmlns:a16="http://schemas.microsoft.com/office/drawing/2014/main" id="{00000000-0008-0000-0F00-000049000000}"/>
            </a:ext>
          </a:extLst>
        </xdr:cNvPr>
        <xdr:cNvPicPr/>
      </xdr:nvPicPr>
      <xdr:blipFill>
        <a:blip xmlns:r="http://schemas.openxmlformats.org/officeDocument/2006/relationships" r:embed="rId2"/>
        <a:stretch/>
      </xdr:blipFill>
      <xdr:spPr>
        <a:xfrm>
          <a:off x="6898320" y="5611320"/>
          <a:ext cx="6021360" cy="475092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558360</xdr:colOff>
      <xdr:row>15</xdr:row>
      <xdr:rowOff>50760</xdr:rowOff>
    </xdr:from>
    <xdr:to>
      <xdr:col>7</xdr:col>
      <xdr:colOff>131040</xdr:colOff>
      <xdr:row>20</xdr:row>
      <xdr:rowOff>235800</xdr:rowOff>
    </xdr:to>
    <xdr:sp macro="" textlink="">
      <xdr:nvSpPr>
        <xdr:cNvPr id="74" name="CustomShape 1">
          <a:extLst>
            <a:ext uri="{FF2B5EF4-FFF2-40B4-BE49-F238E27FC236}">
              <a16:creationId xmlns:a16="http://schemas.microsoft.com/office/drawing/2014/main" id="{00000000-0008-0000-1300-00004A000000}"/>
            </a:ext>
          </a:extLst>
        </xdr:cNvPr>
        <xdr:cNvSpPr/>
      </xdr:nvSpPr>
      <xdr:spPr>
        <a:xfrm>
          <a:off x="1508760" y="5426640"/>
          <a:ext cx="3024000" cy="208980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인사말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창원 상남본원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강사 / 직원채용</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2</xdr:col>
      <xdr:colOff>410040</xdr:colOff>
      <xdr:row>13</xdr:row>
      <xdr:rowOff>315000</xdr:rowOff>
    </xdr:from>
    <xdr:to>
      <xdr:col>7</xdr:col>
      <xdr:colOff>142920</xdr:colOff>
      <xdr:row>15</xdr:row>
      <xdr:rowOff>199440</xdr:rowOff>
    </xdr:to>
    <xdr:sp macro="" textlink="">
      <xdr:nvSpPr>
        <xdr:cNvPr id="75" name="CustomShape 1">
          <a:extLst>
            <a:ext uri="{FF2B5EF4-FFF2-40B4-BE49-F238E27FC236}">
              <a16:creationId xmlns:a16="http://schemas.microsoft.com/office/drawing/2014/main" id="{00000000-0008-0000-1300-00004B000000}"/>
            </a:ext>
          </a:extLst>
        </xdr:cNvPr>
        <xdr:cNvSpPr/>
      </xdr:nvSpPr>
      <xdr:spPr>
        <a:xfrm>
          <a:off x="1360440" y="4928760"/>
          <a:ext cx="3184200" cy="64656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학원소개</a:t>
          </a:r>
          <a:endParaRPr lang="en-US" sz="2000" b="0" strike="noStrike" spc="-1">
            <a:latin typeface="바탕"/>
          </a:endParaRPr>
        </a:p>
      </xdr:txBody>
    </xdr:sp>
    <xdr:clientData/>
  </xdr:twoCellAnchor>
  <xdr:twoCellAnchor editAs="absolute">
    <xdr:from>
      <xdr:col>9</xdr:col>
      <xdr:colOff>291240</xdr:colOff>
      <xdr:row>15</xdr:row>
      <xdr:rowOff>50400</xdr:rowOff>
    </xdr:from>
    <xdr:to>
      <xdr:col>13</xdr:col>
      <xdr:colOff>565560</xdr:colOff>
      <xdr:row>22</xdr:row>
      <xdr:rowOff>28080</xdr:rowOff>
    </xdr:to>
    <xdr:sp macro="" textlink="">
      <xdr:nvSpPr>
        <xdr:cNvPr id="76" name="CustomShape 1">
          <a:extLst>
            <a:ext uri="{FF2B5EF4-FFF2-40B4-BE49-F238E27FC236}">
              <a16:creationId xmlns:a16="http://schemas.microsoft.com/office/drawing/2014/main" id="{00000000-0008-0000-1300-00004C000000}"/>
            </a:ext>
          </a:extLst>
        </xdr:cNvPr>
        <xdr:cNvSpPr/>
      </xdr:nvSpPr>
      <xdr:spPr>
        <a:xfrm>
          <a:off x="6073200" y="5426280"/>
          <a:ext cx="3035520" cy="26445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강의소개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수강혜택</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강의시간표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강사소개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수강후기</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9</xdr:col>
      <xdr:colOff>142200</xdr:colOff>
      <xdr:row>13</xdr:row>
      <xdr:rowOff>315000</xdr:rowOff>
    </xdr:from>
    <xdr:to>
      <xdr:col>13</xdr:col>
      <xdr:colOff>577080</xdr:colOff>
      <xdr:row>15</xdr:row>
      <xdr:rowOff>199080</xdr:rowOff>
    </xdr:to>
    <xdr:sp macro="" textlink="">
      <xdr:nvSpPr>
        <xdr:cNvPr id="77" name="CustomShape 1">
          <a:extLst>
            <a:ext uri="{FF2B5EF4-FFF2-40B4-BE49-F238E27FC236}">
              <a16:creationId xmlns:a16="http://schemas.microsoft.com/office/drawing/2014/main" id="{00000000-0008-0000-1300-00004D000000}"/>
            </a:ext>
          </a:extLst>
        </xdr:cNvPr>
        <xdr:cNvSpPr/>
      </xdr:nvSpPr>
      <xdr:spPr>
        <a:xfrm>
          <a:off x="5924160" y="4928760"/>
          <a:ext cx="3196080" cy="64620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강의안내</a:t>
          </a:r>
          <a:endParaRPr lang="en-US" sz="2000" b="0" strike="noStrike" spc="-1">
            <a:latin typeface="바탕"/>
          </a:endParaRPr>
        </a:p>
      </xdr:txBody>
    </xdr:sp>
    <xdr:clientData/>
  </xdr:twoCellAnchor>
  <xdr:twoCellAnchor editAs="absolute">
    <xdr:from>
      <xdr:col>15</xdr:col>
      <xdr:colOff>310320</xdr:colOff>
      <xdr:row>15</xdr:row>
      <xdr:rowOff>50760</xdr:rowOff>
    </xdr:from>
    <xdr:to>
      <xdr:col>19</xdr:col>
      <xdr:colOff>551520</xdr:colOff>
      <xdr:row>20</xdr:row>
      <xdr:rowOff>235800</xdr:rowOff>
    </xdr:to>
    <xdr:sp macro="" textlink="">
      <xdr:nvSpPr>
        <xdr:cNvPr id="78" name="CustomShape 1">
          <a:extLst>
            <a:ext uri="{FF2B5EF4-FFF2-40B4-BE49-F238E27FC236}">
              <a16:creationId xmlns:a16="http://schemas.microsoft.com/office/drawing/2014/main" id="{00000000-0008-0000-1300-00004E000000}"/>
            </a:ext>
          </a:extLst>
        </xdr:cNvPr>
        <xdr:cNvSpPr/>
      </xdr:nvSpPr>
      <xdr:spPr>
        <a:xfrm>
          <a:off x="10379160" y="5426640"/>
          <a:ext cx="3002400" cy="208980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수강신청</a:t>
          </a:r>
          <a:endParaRPr lang="en-US" sz="1600" b="0" strike="noStrike" spc="-1">
            <a:latin typeface="바탕"/>
          </a:endParaRPr>
        </a:p>
      </xdr:txBody>
    </xdr:sp>
    <xdr:clientData/>
  </xdr:twoCellAnchor>
  <xdr:twoCellAnchor editAs="absolute">
    <xdr:from>
      <xdr:col>15</xdr:col>
      <xdr:colOff>162720</xdr:colOff>
      <xdr:row>13</xdr:row>
      <xdr:rowOff>315000</xdr:rowOff>
    </xdr:from>
    <xdr:to>
      <xdr:col>19</xdr:col>
      <xdr:colOff>562680</xdr:colOff>
      <xdr:row>15</xdr:row>
      <xdr:rowOff>199440</xdr:rowOff>
    </xdr:to>
    <xdr:sp macro="" textlink="">
      <xdr:nvSpPr>
        <xdr:cNvPr id="79" name="CustomShape 1">
          <a:extLst>
            <a:ext uri="{FF2B5EF4-FFF2-40B4-BE49-F238E27FC236}">
              <a16:creationId xmlns:a16="http://schemas.microsoft.com/office/drawing/2014/main" id="{00000000-0008-0000-1300-00004F000000}"/>
            </a:ext>
          </a:extLst>
        </xdr:cNvPr>
        <xdr:cNvSpPr/>
      </xdr:nvSpPr>
      <xdr:spPr>
        <a:xfrm>
          <a:off x="10231560" y="4928760"/>
          <a:ext cx="3161160" cy="64656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수강신청</a:t>
          </a:r>
          <a:endParaRPr lang="en-US" sz="2000" b="0" strike="noStrike" spc="-1">
            <a:latin typeface="바탕"/>
          </a:endParaRPr>
        </a:p>
      </xdr:txBody>
    </xdr:sp>
    <xdr:clientData/>
  </xdr:twoCellAnchor>
  <xdr:twoCellAnchor editAs="absolute">
    <xdr:from>
      <xdr:col>2</xdr:col>
      <xdr:colOff>558000</xdr:colOff>
      <xdr:row>24</xdr:row>
      <xdr:rowOff>346680</xdr:rowOff>
    </xdr:from>
    <xdr:to>
      <xdr:col>7</xdr:col>
      <xdr:colOff>131040</xdr:colOff>
      <xdr:row>30</xdr:row>
      <xdr:rowOff>287640</xdr:rowOff>
    </xdr:to>
    <xdr:sp macro="" textlink="">
      <xdr:nvSpPr>
        <xdr:cNvPr id="80" name="CustomShape 1">
          <a:extLst>
            <a:ext uri="{FF2B5EF4-FFF2-40B4-BE49-F238E27FC236}">
              <a16:creationId xmlns:a16="http://schemas.microsoft.com/office/drawing/2014/main" id="{00000000-0008-0000-1300-000050000000}"/>
            </a:ext>
          </a:extLst>
        </xdr:cNvPr>
        <xdr:cNvSpPr/>
      </xdr:nvSpPr>
      <xdr:spPr>
        <a:xfrm>
          <a:off x="1508400" y="9151560"/>
          <a:ext cx="3024360" cy="20973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샘플강의 맛보기</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토익 저자직강</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학원소개 동영상</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2</xdr:col>
      <xdr:colOff>409680</xdr:colOff>
      <xdr:row>23</xdr:row>
      <xdr:rowOff>228240</xdr:rowOff>
    </xdr:from>
    <xdr:to>
      <xdr:col>7</xdr:col>
      <xdr:colOff>142920</xdr:colOff>
      <xdr:row>25</xdr:row>
      <xdr:rowOff>115200</xdr:rowOff>
    </xdr:to>
    <xdr:sp macro="" textlink="">
      <xdr:nvSpPr>
        <xdr:cNvPr id="81" name="CustomShape 1">
          <a:extLst>
            <a:ext uri="{FF2B5EF4-FFF2-40B4-BE49-F238E27FC236}">
              <a16:creationId xmlns:a16="http://schemas.microsoft.com/office/drawing/2014/main" id="{00000000-0008-0000-1300-000051000000}"/>
            </a:ext>
          </a:extLst>
        </xdr:cNvPr>
        <xdr:cNvSpPr/>
      </xdr:nvSpPr>
      <xdr:spPr>
        <a:xfrm>
          <a:off x="1360080" y="8651880"/>
          <a:ext cx="318456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온라인 청강</a:t>
          </a:r>
          <a:endParaRPr lang="en-US" sz="2000" b="0" strike="noStrike" spc="-1">
            <a:latin typeface="바탕"/>
          </a:endParaRPr>
        </a:p>
      </xdr:txBody>
    </xdr:sp>
    <xdr:clientData/>
  </xdr:twoCellAnchor>
  <xdr:twoCellAnchor editAs="absolute">
    <xdr:from>
      <xdr:col>15</xdr:col>
      <xdr:colOff>310320</xdr:colOff>
      <xdr:row>24</xdr:row>
      <xdr:rowOff>346680</xdr:rowOff>
    </xdr:from>
    <xdr:to>
      <xdr:col>19</xdr:col>
      <xdr:colOff>551160</xdr:colOff>
      <xdr:row>30</xdr:row>
      <xdr:rowOff>287640</xdr:rowOff>
    </xdr:to>
    <xdr:sp macro="" textlink="">
      <xdr:nvSpPr>
        <xdr:cNvPr id="82" name="CustomShape 1">
          <a:extLst>
            <a:ext uri="{FF2B5EF4-FFF2-40B4-BE49-F238E27FC236}">
              <a16:creationId xmlns:a16="http://schemas.microsoft.com/office/drawing/2014/main" id="{00000000-0008-0000-1300-000052000000}"/>
            </a:ext>
          </a:extLst>
        </xdr:cNvPr>
        <xdr:cNvSpPr/>
      </xdr:nvSpPr>
      <xdr:spPr>
        <a:xfrm>
          <a:off x="10379160" y="9151560"/>
          <a:ext cx="3002040" cy="20973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로그인</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회원가입</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아이디 / 비밀번호 찾기</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회원정보 수정</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15</xdr:col>
      <xdr:colOff>163080</xdr:colOff>
      <xdr:row>23</xdr:row>
      <xdr:rowOff>228240</xdr:rowOff>
    </xdr:from>
    <xdr:to>
      <xdr:col>19</xdr:col>
      <xdr:colOff>563040</xdr:colOff>
      <xdr:row>25</xdr:row>
      <xdr:rowOff>115200</xdr:rowOff>
    </xdr:to>
    <xdr:sp macro="" textlink="">
      <xdr:nvSpPr>
        <xdr:cNvPr id="83" name="CustomShape 1">
          <a:extLst>
            <a:ext uri="{FF2B5EF4-FFF2-40B4-BE49-F238E27FC236}">
              <a16:creationId xmlns:a16="http://schemas.microsoft.com/office/drawing/2014/main" id="{00000000-0008-0000-1300-000053000000}"/>
            </a:ext>
          </a:extLst>
        </xdr:cNvPr>
        <xdr:cNvSpPr/>
      </xdr:nvSpPr>
      <xdr:spPr>
        <a:xfrm>
          <a:off x="10231920" y="8651880"/>
          <a:ext cx="316116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회원안내</a:t>
          </a:r>
          <a:endParaRPr lang="en-US" sz="2000" b="0" strike="noStrike" spc="-1">
            <a:latin typeface="바탕"/>
          </a:endParaRPr>
        </a:p>
      </xdr:txBody>
    </xdr:sp>
    <xdr:clientData/>
  </xdr:twoCellAnchor>
  <xdr:twoCellAnchor editAs="absolute">
    <xdr:from>
      <xdr:col>9</xdr:col>
      <xdr:colOff>290520</xdr:colOff>
      <xdr:row>24</xdr:row>
      <xdr:rowOff>329400</xdr:rowOff>
    </xdr:from>
    <xdr:to>
      <xdr:col>13</xdr:col>
      <xdr:colOff>546480</xdr:colOff>
      <xdr:row>32</xdr:row>
      <xdr:rowOff>131760</xdr:rowOff>
    </xdr:to>
    <xdr:sp macro="" textlink="">
      <xdr:nvSpPr>
        <xdr:cNvPr id="84" name="CustomShape 1">
          <a:extLst>
            <a:ext uri="{FF2B5EF4-FFF2-40B4-BE49-F238E27FC236}">
              <a16:creationId xmlns:a16="http://schemas.microsoft.com/office/drawing/2014/main" id="{00000000-0008-0000-1300-000054000000}"/>
            </a:ext>
          </a:extLst>
        </xdr:cNvPr>
        <xdr:cNvSpPr/>
      </xdr:nvSpPr>
      <xdr:spPr>
        <a:xfrm>
          <a:off x="6072480" y="9134280"/>
          <a:ext cx="3017160" cy="265608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공지사항</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자유게시판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이벤트</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포토갤러리</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스터디그룹</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9</xdr:col>
      <xdr:colOff>142560</xdr:colOff>
      <xdr:row>23</xdr:row>
      <xdr:rowOff>210960</xdr:rowOff>
    </xdr:from>
    <xdr:to>
      <xdr:col>13</xdr:col>
      <xdr:colOff>558360</xdr:colOff>
      <xdr:row>25</xdr:row>
      <xdr:rowOff>97920</xdr:rowOff>
    </xdr:to>
    <xdr:sp macro="" textlink="">
      <xdr:nvSpPr>
        <xdr:cNvPr id="85" name="CustomShape 1">
          <a:extLst>
            <a:ext uri="{FF2B5EF4-FFF2-40B4-BE49-F238E27FC236}">
              <a16:creationId xmlns:a16="http://schemas.microsoft.com/office/drawing/2014/main" id="{00000000-0008-0000-1300-000055000000}"/>
            </a:ext>
          </a:extLst>
        </xdr:cNvPr>
        <xdr:cNvSpPr/>
      </xdr:nvSpPr>
      <xdr:spPr>
        <a:xfrm>
          <a:off x="5924520" y="8634600"/>
          <a:ext cx="317700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커뮤니티</a:t>
          </a:r>
          <a:endParaRPr lang="en-US" sz="2000" b="0" strike="noStrike" spc="-1">
            <a:latin typeface="바탕"/>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19</xdr:col>
      <xdr:colOff>744480</xdr:colOff>
      <xdr:row>13</xdr:row>
      <xdr:rowOff>10800</xdr:rowOff>
    </xdr:from>
    <xdr:to>
      <xdr:col>33</xdr:col>
      <xdr:colOff>622800</xdr:colOff>
      <xdr:row>15</xdr:row>
      <xdr:rowOff>210600</xdr:rowOff>
    </xdr:to>
    <xdr:graphicFrame macro="">
      <xdr:nvGraphicFramePr>
        <xdr:cNvPr id="86" name="차트 28">
          <a:extLst>
            <a:ext uri="{FF2B5EF4-FFF2-40B4-BE49-F238E27FC236}">
              <a16:creationId xmlns:a16="http://schemas.microsoft.com/office/drawing/2014/main" id="{00000000-0008-0000-1400-00005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162720</xdr:colOff>
      <xdr:row>15</xdr:row>
      <xdr:rowOff>80280</xdr:rowOff>
    </xdr:from>
    <xdr:to>
      <xdr:col>33</xdr:col>
      <xdr:colOff>640080</xdr:colOff>
      <xdr:row>28</xdr:row>
      <xdr:rowOff>136800</xdr:rowOff>
    </xdr:to>
    <xdr:graphicFrame macro="">
      <xdr:nvGraphicFramePr>
        <xdr:cNvPr id="87" name="차트 26">
          <a:extLst>
            <a:ext uri="{FF2B5EF4-FFF2-40B4-BE49-F238E27FC236}">
              <a16:creationId xmlns:a16="http://schemas.microsoft.com/office/drawing/2014/main" id="{00000000-0008-0000-1400-00005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1@1.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9"/>
  <sheetViews>
    <sheetView zoomScale="85" zoomScaleNormal="85" workbookViewId="0">
      <selection activeCell="B4" sqref="B4"/>
    </sheetView>
  </sheetViews>
  <sheetFormatPr defaultRowHeight="16.5" x14ac:dyDescent="0.3"/>
  <cols>
    <col min="1" max="1" width="3.625" customWidth="1"/>
    <col min="2" max="1025" width="9" customWidth="1"/>
  </cols>
  <sheetData>
    <row r="2" spans="2:20" ht="24.95" customHeight="1" x14ac:dyDescent="0.3">
      <c r="B2" s="236" t="s">
        <v>0</v>
      </c>
      <c r="C2" s="236"/>
      <c r="D2" s="236"/>
      <c r="E2" s="237" t="s">
        <v>1</v>
      </c>
      <c r="F2" s="237"/>
      <c r="G2" s="237"/>
      <c r="H2" s="237"/>
      <c r="I2" s="237"/>
      <c r="J2" s="237"/>
      <c r="K2" s="237"/>
      <c r="L2" s="237"/>
      <c r="M2" s="238" t="s">
        <v>2</v>
      </c>
      <c r="N2" s="238"/>
      <c r="O2" s="238"/>
      <c r="P2" s="239" t="s">
        <v>3</v>
      </c>
      <c r="Q2" s="239"/>
      <c r="R2" s="239"/>
      <c r="S2" s="239"/>
      <c r="T2" s="239"/>
    </row>
    <row r="3" spans="2:20" ht="24.95" customHeight="1" x14ac:dyDescent="0.3">
      <c r="B3" s="240" t="s">
        <v>4</v>
      </c>
      <c r="C3" s="240"/>
      <c r="D3" s="240"/>
      <c r="E3" s="241" t="s">
        <v>5</v>
      </c>
      <c r="F3" s="241"/>
      <c r="G3" s="241"/>
      <c r="H3" s="241"/>
      <c r="I3" s="241"/>
      <c r="J3" s="241"/>
      <c r="K3" s="241"/>
      <c r="L3" s="241"/>
      <c r="M3" s="242" t="s">
        <v>6</v>
      </c>
      <c r="N3" s="242"/>
      <c r="O3" s="242"/>
      <c r="P3" s="243">
        <v>44806</v>
      </c>
      <c r="Q3" s="243"/>
      <c r="R3" s="243"/>
      <c r="S3" s="243"/>
      <c r="T3" s="243"/>
    </row>
    <row r="4" spans="2:20" ht="24.95" customHeight="1" x14ac:dyDescent="0.3">
      <c r="B4" s="234" t="s">
        <v>7</v>
      </c>
      <c r="C4" s="234"/>
      <c r="D4" s="234"/>
      <c r="E4" s="234"/>
      <c r="F4" s="234"/>
      <c r="G4" s="234"/>
      <c r="H4" s="234"/>
      <c r="I4" s="234"/>
      <c r="J4" s="234"/>
      <c r="K4" s="234"/>
      <c r="L4" s="234"/>
      <c r="M4" s="234"/>
      <c r="N4" s="234"/>
      <c r="O4" s="234"/>
      <c r="P4" s="234"/>
      <c r="Q4" s="234"/>
      <c r="R4" s="234"/>
      <c r="S4" s="234"/>
      <c r="T4" s="234"/>
    </row>
    <row r="5" spans="2:20" ht="321" customHeight="1" x14ac:dyDescent="0.3">
      <c r="B5" s="235" t="s">
        <v>8</v>
      </c>
      <c r="C5" s="235"/>
      <c r="D5" s="235"/>
      <c r="E5" s="235"/>
      <c r="F5" s="235"/>
      <c r="G5" s="235"/>
      <c r="H5" s="235"/>
      <c r="I5" s="235"/>
      <c r="J5" s="235"/>
      <c r="K5" s="235"/>
      <c r="L5" s="235"/>
      <c r="M5" s="235"/>
      <c r="N5" s="235"/>
      <c r="O5" s="235"/>
      <c r="P5" s="235"/>
      <c r="Q5" s="235"/>
      <c r="R5" s="235"/>
      <c r="S5" s="235"/>
      <c r="T5" s="235"/>
    </row>
    <row r="6" spans="2:20" ht="314.25" customHeight="1" x14ac:dyDescent="0.3">
      <c r="B6" s="235"/>
      <c r="C6" s="235"/>
      <c r="D6" s="235"/>
      <c r="E6" s="235"/>
      <c r="F6" s="235"/>
      <c r="G6" s="235"/>
      <c r="H6" s="235"/>
      <c r="I6" s="235"/>
      <c r="J6" s="235"/>
      <c r="K6" s="235"/>
      <c r="L6" s="235"/>
      <c r="M6" s="235"/>
      <c r="N6" s="235"/>
      <c r="O6" s="235"/>
      <c r="P6" s="235"/>
      <c r="Q6" s="235"/>
      <c r="R6" s="235"/>
      <c r="S6" s="235"/>
      <c r="T6" s="235"/>
    </row>
    <row r="7" spans="2:20" ht="408.75" customHeight="1" x14ac:dyDescent="0.3">
      <c r="B7" s="235"/>
      <c r="C7" s="235"/>
      <c r="D7" s="235"/>
      <c r="E7" s="235"/>
      <c r="F7" s="235"/>
      <c r="G7" s="235"/>
      <c r="H7" s="235"/>
      <c r="I7" s="235"/>
      <c r="J7" s="235"/>
      <c r="K7" s="235"/>
      <c r="L7" s="235"/>
      <c r="M7" s="235"/>
      <c r="N7" s="235"/>
      <c r="O7" s="235"/>
      <c r="P7" s="235"/>
      <c r="Q7" s="235"/>
      <c r="R7" s="235"/>
      <c r="S7" s="235"/>
      <c r="T7" s="235"/>
    </row>
    <row r="8" spans="2:20" ht="408.75" customHeight="1" x14ac:dyDescent="0.3">
      <c r="B8" s="235"/>
      <c r="C8" s="235"/>
      <c r="D8" s="235"/>
      <c r="E8" s="235"/>
      <c r="F8" s="235"/>
      <c r="G8" s="235"/>
      <c r="H8" s="235"/>
      <c r="I8" s="235"/>
      <c r="J8" s="235"/>
      <c r="K8" s="235"/>
      <c r="L8" s="235"/>
      <c r="M8" s="235"/>
      <c r="N8" s="235"/>
      <c r="O8" s="235"/>
      <c r="P8" s="235"/>
      <c r="Q8" s="235"/>
      <c r="R8" s="235"/>
      <c r="S8" s="235"/>
      <c r="T8" s="235"/>
    </row>
    <row r="9" spans="2:20" ht="17.25" customHeight="1" x14ac:dyDescent="0.3"/>
  </sheetData>
  <mergeCells count="13">
    <mergeCell ref="B2:D2"/>
    <mergeCell ref="E2:L2"/>
    <mergeCell ref="M2:O2"/>
    <mergeCell ref="P2:T2"/>
    <mergeCell ref="B3:D3"/>
    <mergeCell ref="E3:L3"/>
    <mergeCell ref="M3:O3"/>
    <mergeCell ref="P3:T3"/>
    <mergeCell ref="B4:T4"/>
    <mergeCell ref="B5:T5"/>
    <mergeCell ref="B6:T6"/>
    <mergeCell ref="B7:T7"/>
    <mergeCell ref="B8:T8"/>
  </mergeCells>
  <phoneticPr fontId="45" type="noConversion"/>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9"/>
  <sheetViews>
    <sheetView topLeftCell="B1" zoomScale="85" zoomScaleNormal="85" workbookViewId="0">
      <selection activeCell="B4" sqref="B4"/>
    </sheetView>
  </sheetViews>
  <sheetFormatPr defaultRowHeight="16.5" x14ac:dyDescent="0.3"/>
  <cols>
    <col min="1" max="1" width="3.625" customWidth="1"/>
    <col min="2" max="1025" width="9" customWidth="1"/>
  </cols>
  <sheetData>
    <row r="2" spans="2:20" ht="24.95" customHeight="1" x14ac:dyDescent="0.3">
      <c r="B2" s="236" t="s">
        <v>0</v>
      </c>
      <c r="C2" s="236"/>
      <c r="D2" s="236"/>
      <c r="E2" s="237" t="s">
        <v>1</v>
      </c>
      <c r="F2" s="237"/>
      <c r="G2" s="237"/>
      <c r="H2" s="237"/>
      <c r="I2" s="237"/>
      <c r="J2" s="237"/>
      <c r="K2" s="237"/>
      <c r="L2" s="237"/>
      <c r="M2" s="238" t="s">
        <v>2</v>
      </c>
      <c r="N2" s="238"/>
      <c r="O2" s="238"/>
      <c r="P2" s="239" t="str">
        <f>'00_팀프로젝트_큰틀'!P2</f>
        <v>홍길순</v>
      </c>
      <c r="Q2" s="239"/>
      <c r="R2" s="239"/>
      <c r="S2" s="239"/>
      <c r="T2" s="239"/>
    </row>
    <row r="3" spans="2:20" ht="24.95" customHeight="1" x14ac:dyDescent="0.3">
      <c r="B3" s="240" t="s">
        <v>4</v>
      </c>
      <c r="C3" s="240"/>
      <c r="D3" s="240"/>
      <c r="E3" s="241" t="s">
        <v>5</v>
      </c>
      <c r="F3" s="241"/>
      <c r="G3" s="241"/>
      <c r="H3" s="241"/>
      <c r="I3" s="241"/>
      <c r="J3" s="241"/>
      <c r="K3" s="241"/>
      <c r="L3" s="241"/>
      <c r="M3" s="242" t="s">
        <v>6</v>
      </c>
      <c r="N3" s="242"/>
      <c r="O3" s="242"/>
      <c r="P3" s="243">
        <v>44806</v>
      </c>
      <c r="Q3" s="243"/>
      <c r="R3" s="243"/>
      <c r="S3" s="243"/>
      <c r="T3" s="243"/>
    </row>
    <row r="4" spans="2:20" ht="24.95" customHeight="1" x14ac:dyDescent="0.3">
      <c r="B4" s="234" t="s">
        <v>7</v>
      </c>
      <c r="C4" s="234"/>
      <c r="D4" s="234"/>
      <c r="E4" s="234"/>
      <c r="F4" s="234"/>
      <c r="G4" s="234"/>
      <c r="H4" s="234"/>
      <c r="I4" s="234"/>
      <c r="J4" s="234"/>
      <c r="K4" s="234"/>
      <c r="L4" s="234"/>
      <c r="M4" s="234"/>
      <c r="N4" s="234"/>
      <c r="O4" s="234"/>
      <c r="P4" s="234"/>
      <c r="Q4" s="234"/>
      <c r="R4" s="234"/>
      <c r="S4" s="234"/>
      <c r="T4" s="234"/>
    </row>
    <row r="5" spans="2:20" ht="321" customHeight="1" x14ac:dyDescent="0.3">
      <c r="B5" s="235" t="s">
        <v>9</v>
      </c>
      <c r="C5" s="235"/>
      <c r="D5" s="235"/>
      <c r="E5" s="235"/>
      <c r="F5" s="235"/>
      <c r="G5" s="235"/>
      <c r="H5" s="235"/>
      <c r="I5" s="235"/>
      <c r="J5" s="235"/>
      <c r="K5" s="235"/>
      <c r="L5" s="235"/>
      <c r="M5" s="235"/>
      <c r="N5" s="235"/>
      <c r="O5" s="235"/>
      <c r="P5" s="235"/>
      <c r="Q5" s="235"/>
      <c r="R5" s="235"/>
      <c r="S5" s="235"/>
      <c r="T5" s="235"/>
    </row>
    <row r="6" spans="2:20" ht="314.25" customHeight="1" x14ac:dyDescent="0.3">
      <c r="B6" s="235" t="s">
        <v>10</v>
      </c>
      <c r="C6" s="235"/>
      <c r="D6" s="235"/>
      <c r="E6" s="235"/>
      <c r="F6" s="235"/>
      <c r="G6" s="235"/>
      <c r="H6" s="235"/>
      <c r="I6" s="235"/>
      <c r="J6" s="235"/>
      <c r="K6" s="235"/>
      <c r="L6" s="235"/>
      <c r="M6" s="235"/>
      <c r="N6" s="235"/>
      <c r="O6" s="235"/>
      <c r="P6" s="235"/>
      <c r="Q6" s="235"/>
      <c r="R6" s="235"/>
      <c r="S6" s="235"/>
      <c r="T6" s="235"/>
    </row>
    <row r="7" spans="2:20" ht="408.75" customHeight="1" x14ac:dyDescent="0.3">
      <c r="B7" s="235" t="s">
        <v>11</v>
      </c>
      <c r="C7" s="235"/>
      <c r="D7" s="235"/>
      <c r="E7" s="235"/>
      <c r="F7" s="235"/>
      <c r="G7" s="235"/>
      <c r="H7" s="235"/>
      <c r="I7" s="235"/>
      <c r="J7" s="235"/>
      <c r="K7" s="235"/>
      <c r="L7" s="235"/>
      <c r="M7" s="235"/>
      <c r="N7" s="235"/>
      <c r="O7" s="235"/>
      <c r="P7" s="235"/>
      <c r="Q7" s="235"/>
      <c r="R7" s="235"/>
      <c r="S7" s="235"/>
      <c r="T7" s="235"/>
    </row>
    <row r="8" spans="2:20" ht="408.75" customHeight="1" x14ac:dyDescent="0.3">
      <c r="B8" s="235" t="s">
        <v>12</v>
      </c>
      <c r="C8" s="235"/>
      <c r="D8" s="235"/>
      <c r="E8" s="235"/>
      <c r="F8" s="235"/>
      <c r="G8" s="235"/>
      <c r="H8" s="235"/>
      <c r="I8" s="235"/>
      <c r="J8" s="235"/>
      <c r="K8" s="235"/>
      <c r="L8" s="235"/>
      <c r="M8" s="235"/>
      <c r="N8" s="235"/>
      <c r="O8" s="235"/>
      <c r="P8" s="235"/>
      <c r="Q8" s="235"/>
      <c r="R8" s="235"/>
      <c r="S8" s="235"/>
      <c r="T8" s="235"/>
    </row>
    <row r="9" spans="2:20" ht="17.25" customHeight="1" x14ac:dyDescent="0.3"/>
  </sheetData>
  <mergeCells count="13">
    <mergeCell ref="B2:D2"/>
    <mergeCell ref="E2:L2"/>
    <mergeCell ref="M2:O2"/>
    <mergeCell ref="P2:T2"/>
    <mergeCell ref="B3:D3"/>
    <mergeCell ref="E3:L3"/>
    <mergeCell ref="M3:O3"/>
    <mergeCell ref="P3:T3"/>
    <mergeCell ref="B4:T4"/>
    <mergeCell ref="B5:T5"/>
    <mergeCell ref="B6:T6"/>
    <mergeCell ref="B7:T7"/>
    <mergeCell ref="B8:T8"/>
  </mergeCells>
  <phoneticPr fontId="45"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33"/>
  <sheetViews>
    <sheetView zoomScale="85" zoomScaleNormal="85" workbookViewId="0">
      <selection activeCell="B4" sqref="B4"/>
    </sheetView>
  </sheetViews>
  <sheetFormatPr defaultRowHeight="16.5" x14ac:dyDescent="0.3"/>
  <cols>
    <col min="1" max="1" width="3.625" customWidth="1"/>
    <col min="2" max="20" width="9" customWidth="1"/>
    <col min="21" max="1025" width="8.875" customWidth="1"/>
  </cols>
  <sheetData>
    <row r="2" spans="2:20" ht="24.95" customHeight="1" x14ac:dyDescent="0.3">
      <c r="B2" s="236" t="s">
        <v>0</v>
      </c>
      <c r="C2" s="236"/>
      <c r="D2" s="236"/>
      <c r="E2" s="237" t="s">
        <v>1</v>
      </c>
      <c r="F2" s="237"/>
      <c r="G2" s="237"/>
      <c r="H2" s="237"/>
      <c r="I2" s="237"/>
      <c r="J2" s="237"/>
      <c r="K2" s="237"/>
      <c r="L2" s="237"/>
      <c r="M2" s="238" t="s">
        <v>2</v>
      </c>
      <c r="N2" s="238"/>
      <c r="O2" s="238"/>
      <c r="P2" s="239" t="str">
        <f>'00_팀프로젝트_큰틀'!P2</f>
        <v>홍길순</v>
      </c>
      <c r="Q2" s="239"/>
      <c r="R2" s="239"/>
      <c r="S2" s="239"/>
      <c r="T2" s="239"/>
    </row>
    <row r="3" spans="2:20" ht="24.95" customHeight="1" x14ac:dyDescent="0.3">
      <c r="B3" s="240" t="s">
        <v>4</v>
      </c>
      <c r="C3" s="240"/>
      <c r="D3" s="240"/>
      <c r="E3" s="241" t="s">
        <v>5</v>
      </c>
      <c r="F3" s="241"/>
      <c r="G3" s="241"/>
      <c r="H3" s="241"/>
      <c r="I3" s="241"/>
      <c r="J3" s="241"/>
      <c r="K3" s="241"/>
      <c r="L3" s="241"/>
      <c r="M3" s="242" t="s">
        <v>6</v>
      </c>
      <c r="N3" s="242"/>
      <c r="O3" s="242"/>
      <c r="P3" s="243">
        <v>44806</v>
      </c>
      <c r="Q3" s="243"/>
      <c r="R3" s="243"/>
      <c r="S3" s="243"/>
      <c r="T3" s="243"/>
    </row>
    <row r="4" spans="2:20" ht="24.95" customHeight="1" x14ac:dyDescent="0.3">
      <c r="B4" s="234" t="s">
        <v>7</v>
      </c>
      <c r="C4" s="234"/>
      <c r="D4" s="234"/>
      <c r="E4" s="234"/>
      <c r="F4" s="234"/>
      <c r="G4" s="234"/>
      <c r="H4" s="234"/>
      <c r="I4" s="234"/>
      <c r="J4" s="234"/>
      <c r="K4" s="234"/>
      <c r="L4" s="234"/>
      <c r="M4" s="234"/>
      <c r="N4" s="234"/>
      <c r="O4" s="234"/>
      <c r="P4" s="234"/>
      <c r="Q4" s="234"/>
      <c r="R4" s="234"/>
      <c r="S4" s="234"/>
      <c r="T4" s="234"/>
    </row>
    <row r="5" spans="2:20" ht="24.95" customHeight="1" x14ac:dyDescent="0.3">
      <c r="B5" s="254" t="s">
        <v>13</v>
      </c>
      <c r="C5" s="254"/>
      <c r="D5" s="254"/>
      <c r="E5" s="254"/>
      <c r="F5" s="254"/>
      <c r="G5" s="254"/>
      <c r="H5" s="254"/>
      <c r="I5" s="254"/>
      <c r="J5" s="254"/>
      <c r="K5" s="254"/>
      <c r="L5" s="254"/>
      <c r="M5" s="254"/>
      <c r="N5" s="254"/>
      <c r="O5" s="254"/>
      <c r="P5" s="254"/>
      <c r="Q5" s="254"/>
      <c r="R5" s="254"/>
      <c r="S5" s="254"/>
      <c r="T5" s="254"/>
    </row>
    <row r="6" spans="2:20" ht="24.95" customHeight="1" x14ac:dyDescent="0.3">
      <c r="B6" s="254"/>
      <c r="C6" s="254"/>
      <c r="D6" s="254"/>
      <c r="E6" s="254"/>
      <c r="F6" s="254"/>
      <c r="G6" s="254"/>
      <c r="H6" s="254"/>
      <c r="I6" s="254"/>
      <c r="J6" s="254"/>
      <c r="K6" s="254"/>
      <c r="L6" s="254"/>
      <c r="M6" s="254"/>
      <c r="N6" s="254"/>
      <c r="O6" s="254"/>
      <c r="P6" s="254"/>
      <c r="Q6" s="254"/>
      <c r="R6" s="254"/>
      <c r="S6" s="254"/>
      <c r="T6" s="254"/>
    </row>
    <row r="7" spans="2:20" ht="24.95" customHeight="1" x14ac:dyDescent="0.3">
      <c r="B7" s="254"/>
      <c r="C7" s="254"/>
      <c r="D7" s="254"/>
      <c r="E7" s="254"/>
      <c r="F7" s="254"/>
      <c r="G7" s="254"/>
      <c r="H7" s="254"/>
      <c r="I7" s="254"/>
      <c r="J7" s="254"/>
      <c r="K7" s="254"/>
      <c r="L7" s="254"/>
      <c r="M7" s="254"/>
      <c r="N7" s="254"/>
      <c r="O7" s="254"/>
      <c r="P7" s="254"/>
      <c r="Q7" s="254"/>
      <c r="R7" s="254"/>
      <c r="S7" s="254"/>
      <c r="T7" s="254"/>
    </row>
    <row r="8" spans="2:20" ht="24.95" customHeight="1" x14ac:dyDescent="0.3">
      <c r="B8" s="254"/>
      <c r="C8" s="254"/>
      <c r="D8" s="254"/>
      <c r="E8" s="254"/>
      <c r="F8" s="254"/>
      <c r="G8" s="254"/>
      <c r="H8" s="254"/>
      <c r="I8" s="254"/>
      <c r="J8" s="254"/>
      <c r="K8" s="254"/>
      <c r="L8" s="254"/>
      <c r="M8" s="254"/>
      <c r="N8" s="254"/>
      <c r="O8" s="254"/>
      <c r="P8" s="254"/>
      <c r="Q8" s="254"/>
      <c r="R8" s="254"/>
      <c r="S8" s="254"/>
      <c r="T8" s="254"/>
    </row>
    <row r="9" spans="2:20" ht="24.95" customHeight="1" x14ac:dyDescent="0.3">
      <c r="B9" s="254"/>
      <c r="C9" s="254"/>
      <c r="D9" s="254"/>
      <c r="E9" s="254"/>
      <c r="F9" s="254"/>
      <c r="G9" s="254"/>
      <c r="H9" s="254"/>
      <c r="I9" s="254"/>
      <c r="J9" s="254"/>
      <c r="K9" s="254"/>
      <c r="L9" s="254"/>
      <c r="M9" s="254"/>
      <c r="N9" s="254"/>
      <c r="O9" s="254"/>
      <c r="P9" s="254"/>
      <c r="Q9" s="254"/>
      <c r="R9" s="254"/>
      <c r="S9" s="254"/>
      <c r="T9" s="254"/>
    </row>
    <row r="10" spans="2:20" ht="162" customHeight="1" x14ac:dyDescent="0.3">
      <c r="B10" s="254"/>
      <c r="C10" s="254"/>
      <c r="D10" s="254"/>
      <c r="E10" s="254"/>
      <c r="F10" s="254"/>
      <c r="G10" s="254"/>
      <c r="H10" s="254"/>
      <c r="I10" s="254"/>
      <c r="J10" s="254"/>
      <c r="K10" s="254"/>
      <c r="L10" s="254"/>
      <c r="M10" s="254"/>
      <c r="N10" s="254"/>
      <c r="O10" s="254"/>
      <c r="P10" s="254"/>
      <c r="Q10" s="254"/>
      <c r="R10" s="254"/>
      <c r="S10" s="254"/>
      <c r="T10" s="254"/>
    </row>
    <row r="11" spans="2:20" ht="24.95" customHeight="1" x14ac:dyDescent="0.3"/>
    <row r="12" spans="2:20" ht="24.95" customHeight="1" x14ac:dyDescent="0.3">
      <c r="B12" s="255" t="s">
        <v>14</v>
      </c>
      <c r="C12" s="255"/>
      <c r="D12" s="255"/>
      <c r="E12" s="255"/>
      <c r="F12" s="255"/>
      <c r="G12" s="255"/>
      <c r="H12" s="255"/>
      <c r="I12" s="255"/>
      <c r="J12" s="255"/>
      <c r="K12" s="255"/>
      <c r="L12" s="255"/>
      <c r="M12" s="255"/>
      <c r="N12" s="255"/>
      <c r="O12" s="255"/>
      <c r="P12" s="255"/>
      <c r="Q12" s="255"/>
      <c r="R12" s="255"/>
      <c r="S12" s="255"/>
      <c r="T12" s="255"/>
    </row>
    <row r="13" spans="2:20" ht="24.95" customHeight="1" x14ac:dyDescent="0.3">
      <c r="B13" s="255"/>
      <c r="C13" s="255"/>
      <c r="D13" s="255"/>
      <c r="E13" s="255"/>
      <c r="F13" s="255"/>
      <c r="G13" s="255"/>
      <c r="H13" s="255"/>
      <c r="I13" s="255"/>
      <c r="J13" s="255"/>
      <c r="K13" s="255"/>
      <c r="L13" s="255"/>
      <c r="M13" s="255"/>
      <c r="N13" s="255"/>
      <c r="O13" s="255"/>
      <c r="P13" s="255"/>
      <c r="Q13" s="255"/>
      <c r="R13" s="255"/>
      <c r="S13" s="255"/>
      <c r="T13" s="255"/>
    </row>
    <row r="15" spans="2:20" ht="33" customHeight="1" x14ac:dyDescent="0.3">
      <c r="B15" s="3" t="s">
        <v>15</v>
      </c>
      <c r="C15" s="256" t="s">
        <v>16</v>
      </c>
      <c r="D15" s="256"/>
      <c r="E15" s="256"/>
      <c r="F15" s="256"/>
      <c r="G15" s="256"/>
      <c r="H15" s="256"/>
      <c r="I15" s="257" t="s">
        <v>17</v>
      </c>
      <c r="J15" s="257"/>
      <c r="K15" s="257"/>
      <c r="L15" s="257"/>
      <c r="M15" s="257"/>
      <c r="N15" s="257"/>
      <c r="O15" s="257" t="s">
        <v>18</v>
      </c>
      <c r="P15" s="257"/>
      <c r="Q15" s="257" t="s">
        <v>19</v>
      </c>
      <c r="R15" s="257"/>
      <c r="S15" s="258" t="s">
        <v>20</v>
      </c>
      <c r="T15" s="258"/>
    </row>
    <row r="16" spans="2:20" ht="20.100000000000001" customHeight="1" x14ac:dyDescent="0.3">
      <c r="B16" s="4">
        <v>1</v>
      </c>
      <c r="C16" s="247" t="s">
        <v>21</v>
      </c>
      <c r="D16" s="247"/>
      <c r="E16" s="247"/>
      <c r="F16" s="247"/>
      <c r="G16" s="247"/>
      <c r="H16" s="247"/>
      <c r="I16" s="247" t="s">
        <v>22</v>
      </c>
      <c r="J16" s="247"/>
      <c r="K16" s="247"/>
      <c r="L16" s="247"/>
      <c r="M16" s="247"/>
      <c r="N16" s="247"/>
      <c r="O16" s="248" t="s">
        <v>23</v>
      </c>
      <c r="P16" s="248"/>
      <c r="Q16" s="247" t="s">
        <v>24</v>
      </c>
      <c r="R16" s="247"/>
      <c r="S16" s="249"/>
      <c r="T16" s="249"/>
    </row>
    <row r="17" spans="2:20" ht="20.100000000000001" customHeight="1" x14ac:dyDescent="0.3">
      <c r="B17" s="4">
        <v>2</v>
      </c>
      <c r="C17" s="247" t="s">
        <v>25</v>
      </c>
      <c r="D17" s="247"/>
      <c r="E17" s="247"/>
      <c r="F17" s="247"/>
      <c r="G17" s="247"/>
      <c r="H17" s="247"/>
      <c r="I17" s="247" t="s">
        <v>26</v>
      </c>
      <c r="J17" s="247"/>
      <c r="K17" s="247"/>
      <c r="L17" s="247"/>
      <c r="M17" s="247"/>
      <c r="N17" s="247"/>
      <c r="O17" s="248"/>
      <c r="P17" s="248"/>
      <c r="Q17" s="247" t="s">
        <v>27</v>
      </c>
      <c r="R17" s="247"/>
      <c r="S17" s="249"/>
      <c r="T17" s="249"/>
    </row>
    <row r="18" spans="2:20" ht="20.100000000000001" customHeight="1" x14ac:dyDescent="0.3">
      <c r="B18" s="4">
        <v>3</v>
      </c>
      <c r="C18" s="247" t="s">
        <v>28</v>
      </c>
      <c r="D18" s="247"/>
      <c r="E18" s="247"/>
      <c r="F18" s="247"/>
      <c r="G18" s="247"/>
      <c r="H18" s="247"/>
      <c r="I18" s="247" t="s">
        <v>29</v>
      </c>
      <c r="J18" s="247"/>
      <c r="K18" s="247"/>
      <c r="L18" s="247"/>
      <c r="M18" s="247"/>
      <c r="N18" s="247"/>
      <c r="O18" s="248"/>
      <c r="P18" s="248"/>
      <c r="Q18" s="247" t="s">
        <v>30</v>
      </c>
      <c r="R18" s="247"/>
      <c r="S18" s="249"/>
      <c r="T18" s="249"/>
    </row>
    <row r="19" spans="2:20" ht="20.100000000000001" customHeight="1" x14ac:dyDescent="0.3">
      <c r="B19" s="4">
        <v>4</v>
      </c>
      <c r="C19" s="247" t="s">
        <v>31</v>
      </c>
      <c r="D19" s="247"/>
      <c r="E19" s="247"/>
      <c r="F19" s="247"/>
      <c r="G19" s="247"/>
      <c r="H19" s="247"/>
      <c r="I19" s="247" t="s">
        <v>32</v>
      </c>
      <c r="J19" s="247"/>
      <c r="K19" s="247"/>
      <c r="L19" s="247"/>
      <c r="M19" s="247"/>
      <c r="N19" s="247"/>
      <c r="O19" s="248"/>
      <c r="P19" s="248"/>
      <c r="Q19" s="247"/>
      <c r="R19" s="247"/>
      <c r="S19" s="249"/>
      <c r="T19" s="249"/>
    </row>
    <row r="20" spans="2:20" ht="20.100000000000001" customHeight="1" x14ac:dyDescent="0.3">
      <c r="B20" s="7">
        <v>5</v>
      </c>
      <c r="C20" s="251" t="s">
        <v>33</v>
      </c>
      <c r="D20" s="251"/>
      <c r="E20" s="251"/>
      <c r="F20" s="251"/>
      <c r="G20" s="251"/>
      <c r="H20" s="251"/>
      <c r="I20" s="251" t="s">
        <v>34</v>
      </c>
      <c r="J20" s="251"/>
      <c r="K20" s="251"/>
      <c r="L20" s="251"/>
      <c r="M20" s="251"/>
      <c r="N20" s="251"/>
      <c r="O20" s="252"/>
      <c r="P20" s="252"/>
      <c r="Q20" s="247" t="s">
        <v>27</v>
      </c>
      <c r="R20" s="247"/>
      <c r="S20" s="253"/>
      <c r="T20" s="253"/>
    </row>
    <row r="21" spans="2:20" ht="20.100000000000001" customHeight="1" x14ac:dyDescent="0.3">
      <c r="B21" s="4">
        <v>6</v>
      </c>
      <c r="C21" s="247" t="s">
        <v>35</v>
      </c>
      <c r="D21" s="247"/>
      <c r="E21" s="247"/>
      <c r="F21" s="247"/>
      <c r="G21" s="247"/>
      <c r="H21" s="247"/>
      <c r="I21" s="247" t="s">
        <v>36</v>
      </c>
      <c r="J21" s="247"/>
      <c r="K21" s="247"/>
      <c r="L21" s="247"/>
      <c r="M21" s="247"/>
      <c r="N21" s="247"/>
      <c r="O21" s="248"/>
      <c r="P21" s="248"/>
      <c r="Q21" s="247"/>
      <c r="R21" s="247"/>
      <c r="S21" s="249"/>
      <c r="T21" s="249"/>
    </row>
    <row r="22" spans="2:20" ht="20.100000000000001" customHeight="1" x14ac:dyDescent="0.3">
      <c r="B22" s="4">
        <v>7</v>
      </c>
      <c r="C22" s="247" t="s">
        <v>37</v>
      </c>
      <c r="D22" s="247"/>
      <c r="E22" s="247"/>
      <c r="F22" s="247"/>
      <c r="G22" s="247"/>
      <c r="H22" s="247"/>
      <c r="I22" s="247" t="s">
        <v>38</v>
      </c>
      <c r="J22" s="247"/>
      <c r="K22" s="247"/>
      <c r="L22" s="247"/>
      <c r="M22" s="247"/>
      <c r="N22" s="247"/>
      <c r="O22" s="248"/>
      <c r="P22" s="248"/>
      <c r="Q22" s="247"/>
      <c r="R22" s="247"/>
      <c r="S22" s="249"/>
      <c r="T22" s="249"/>
    </row>
    <row r="23" spans="2:20" ht="20.100000000000001" customHeight="1" x14ac:dyDescent="0.3">
      <c r="B23" s="4">
        <v>8</v>
      </c>
      <c r="C23" s="247" t="s">
        <v>39</v>
      </c>
      <c r="D23" s="247"/>
      <c r="E23" s="247"/>
      <c r="F23" s="247"/>
      <c r="G23" s="247"/>
      <c r="H23" s="247"/>
      <c r="I23" s="247" t="s">
        <v>40</v>
      </c>
      <c r="J23" s="247"/>
      <c r="K23" s="247"/>
      <c r="L23" s="247"/>
      <c r="M23" s="247"/>
      <c r="N23" s="247"/>
      <c r="O23" s="248"/>
      <c r="P23" s="248"/>
      <c r="Q23" s="247"/>
      <c r="R23" s="247"/>
      <c r="S23" s="249"/>
      <c r="T23" s="249"/>
    </row>
    <row r="24" spans="2:20" ht="20.100000000000001" customHeight="1" x14ac:dyDescent="0.3">
      <c r="B24" s="4">
        <v>9</v>
      </c>
      <c r="C24" s="247" t="s">
        <v>41</v>
      </c>
      <c r="D24" s="247"/>
      <c r="E24" s="247"/>
      <c r="F24" s="247"/>
      <c r="G24" s="247"/>
      <c r="H24" s="247"/>
      <c r="I24" s="247" t="s">
        <v>42</v>
      </c>
      <c r="J24" s="247"/>
      <c r="K24" s="247"/>
      <c r="L24" s="247"/>
      <c r="M24" s="247"/>
      <c r="N24" s="247"/>
      <c r="O24" s="248"/>
      <c r="P24" s="248"/>
      <c r="Q24" s="247"/>
      <c r="R24" s="247"/>
      <c r="S24" s="249"/>
      <c r="T24" s="249"/>
    </row>
    <row r="25" spans="2:20" ht="20.100000000000001" customHeight="1" x14ac:dyDescent="0.3">
      <c r="B25" s="4">
        <v>10</v>
      </c>
      <c r="C25" s="247" t="s">
        <v>43</v>
      </c>
      <c r="D25" s="247"/>
      <c r="E25" s="247"/>
      <c r="F25" s="247"/>
      <c r="G25" s="247"/>
      <c r="H25" s="247"/>
      <c r="I25" s="247" t="s">
        <v>42</v>
      </c>
      <c r="J25" s="247"/>
      <c r="K25" s="247"/>
      <c r="L25" s="247"/>
      <c r="M25" s="247"/>
      <c r="N25" s="247"/>
      <c r="O25" s="248"/>
      <c r="P25" s="248"/>
      <c r="Q25" s="247"/>
      <c r="R25" s="247"/>
      <c r="S25" s="249"/>
      <c r="T25" s="249"/>
    </row>
    <row r="26" spans="2:20" ht="20.100000000000001" customHeight="1" x14ac:dyDescent="0.3">
      <c r="B26" s="4">
        <v>11</v>
      </c>
      <c r="C26" s="247" t="s">
        <v>44</v>
      </c>
      <c r="D26" s="247"/>
      <c r="E26" s="247"/>
      <c r="F26" s="247"/>
      <c r="G26" s="247"/>
      <c r="H26" s="247"/>
      <c r="I26" s="247" t="s">
        <v>45</v>
      </c>
      <c r="J26" s="247"/>
      <c r="K26" s="247"/>
      <c r="L26" s="247"/>
      <c r="M26" s="247"/>
      <c r="N26" s="247"/>
      <c r="O26" s="248"/>
      <c r="P26" s="248"/>
      <c r="Q26" s="247"/>
      <c r="R26" s="247"/>
      <c r="S26" s="249"/>
      <c r="T26" s="249"/>
    </row>
    <row r="27" spans="2:20" ht="20.100000000000001" customHeight="1" x14ac:dyDescent="0.3">
      <c r="B27" s="4">
        <v>12</v>
      </c>
      <c r="C27" s="247" t="s">
        <v>46</v>
      </c>
      <c r="D27" s="247"/>
      <c r="E27" s="247"/>
      <c r="F27" s="247"/>
      <c r="G27" s="247"/>
      <c r="H27" s="247"/>
      <c r="I27" s="247" t="s">
        <v>47</v>
      </c>
      <c r="J27" s="247"/>
      <c r="K27" s="247"/>
      <c r="L27" s="247"/>
      <c r="M27" s="247"/>
      <c r="N27" s="247"/>
      <c r="O27" s="248"/>
      <c r="P27" s="248"/>
      <c r="Q27" s="247"/>
      <c r="R27" s="247"/>
      <c r="S27" s="249"/>
      <c r="T27" s="249"/>
    </row>
    <row r="28" spans="2:20" ht="20.100000000000001" customHeight="1" x14ac:dyDescent="0.3">
      <c r="B28" s="4">
        <v>13</v>
      </c>
      <c r="C28" s="247" t="s">
        <v>48</v>
      </c>
      <c r="D28" s="247"/>
      <c r="E28" s="247"/>
      <c r="F28" s="247"/>
      <c r="G28" s="247"/>
      <c r="H28" s="247"/>
      <c r="I28" s="247" t="s">
        <v>49</v>
      </c>
      <c r="J28" s="247"/>
      <c r="K28" s="247"/>
      <c r="L28" s="247"/>
      <c r="M28" s="247"/>
      <c r="N28" s="247"/>
      <c r="O28" s="248"/>
      <c r="P28" s="248"/>
      <c r="Q28" s="247"/>
      <c r="R28" s="247"/>
      <c r="S28" s="249"/>
      <c r="T28" s="249"/>
    </row>
    <row r="29" spans="2:20" ht="20.100000000000001" customHeight="1" x14ac:dyDescent="0.3">
      <c r="B29" s="4">
        <v>14</v>
      </c>
      <c r="C29" s="247" t="s">
        <v>50</v>
      </c>
      <c r="D29" s="247"/>
      <c r="E29" s="247"/>
      <c r="F29" s="247"/>
      <c r="G29" s="247"/>
      <c r="H29" s="247"/>
      <c r="I29" s="247" t="s">
        <v>51</v>
      </c>
      <c r="J29" s="247"/>
      <c r="K29" s="247"/>
      <c r="L29" s="247"/>
      <c r="M29" s="247"/>
      <c r="N29" s="247"/>
      <c r="O29" s="248"/>
      <c r="P29" s="248"/>
      <c r="Q29" s="247"/>
      <c r="R29" s="247"/>
      <c r="S29" s="249"/>
      <c r="T29" s="249"/>
    </row>
    <row r="30" spans="2:20" ht="20.100000000000001" customHeight="1" x14ac:dyDescent="0.3">
      <c r="B30" s="4">
        <v>15</v>
      </c>
      <c r="C30" s="247" t="s">
        <v>52</v>
      </c>
      <c r="D30" s="247"/>
      <c r="E30" s="247"/>
      <c r="F30" s="247"/>
      <c r="G30" s="247"/>
      <c r="H30" s="247"/>
      <c r="I30" s="247" t="s">
        <v>53</v>
      </c>
      <c r="J30" s="247"/>
      <c r="K30" s="247"/>
      <c r="L30" s="247"/>
      <c r="M30" s="247"/>
      <c r="N30" s="247"/>
      <c r="O30" s="248"/>
      <c r="P30" s="248"/>
      <c r="Q30" s="247"/>
      <c r="R30" s="247"/>
      <c r="S30" s="249"/>
      <c r="T30" s="249"/>
    </row>
    <row r="31" spans="2:20" ht="20.100000000000001" customHeight="1" x14ac:dyDescent="0.3">
      <c r="B31" s="4">
        <v>16</v>
      </c>
      <c r="C31" s="247" t="s">
        <v>54</v>
      </c>
      <c r="D31" s="247"/>
      <c r="E31" s="247"/>
      <c r="F31" s="247"/>
      <c r="G31" s="247"/>
      <c r="H31" s="247"/>
      <c r="I31" s="247" t="s">
        <v>55</v>
      </c>
      <c r="J31" s="247"/>
      <c r="K31" s="247"/>
      <c r="L31" s="247"/>
      <c r="M31" s="247"/>
      <c r="N31" s="247"/>
      <c r="O31" s="248"/>
      <c r="P31" s="248"/>
      <c r="Q31" s="247"/>
      <c r="R31" s="247"/>
      <c r="S31" s="249"/>
      <c r="T31" s="249"/>
    </row>
    <row r="32" spans="2:20" ht="50.25" customHeight="1" x14ac:dyDescent="0.3">
      <c r="B32" s="4">
        <v>17</v>
      </c>
      <c r="C32" s="250" t="s">
        <v>56</v>
      </c>
      <c r="D32" s="250"/>
      <c r="E32" s="250"/>
      <c r="F32" s="250"/>
      <c r="G32" s="250"/>
      <c r="H32" s="250"/>
      <c r="I32" s="247" t="s">
        <v>57</v>
      </c>
      <c r="J32" s="247"/>
      <c r="K32" s="247"/>
      <c r="L32" s="247"/>
      <c r="M32" s="247"/>
      <c r="N32" s="247"/>
      <c r="O32" s="248"/>
      <c r="P32" s="248"/>
      <c r="Q32" s="247"/>
      <c r="R32" s="247"/>
      <c r="S32" s="249"/>
      <c r="T32" s="249"/>
    </row>
    <row r="33" spans="2:20" x14ac:dyDescent="0.3">
      <c r="B33" s="4">
        <v>18</v>
      </c>
      <c r="C33" s="244" t="s">
        <v>58</v>
      </c>
      <c r="D33" s="244"/>
      <c r="E33" s="244"/>
      <c r="F33" s="244"/>
      <c r="G33" s="244"/>
      <c r="H33" s="244"/>
      <c r="I33" s="244" t="s">
        <v>59</v>
      </c>
      <c r="J33" s="244"/>
      <c r="K33" s="244"/>
      <c r="L33" s="244"/>
      <c r="M33" s="244"/>
      <c r="N33" s="244"/>
      <c r="O33" s="245"/>
      <c r="P33" s="245"/>
      <c r="Q33" s="244"/>
      <c r="R33" s="244"/>
      <c r="S33" s="246"/>
      <c r="T33" s="246"/>
    </row>
  </sheetData>
  <autoFilter ref="B15:T15"/>
  <mergeCells count="106">
    <mergeCell ref="B2:D2"/>
    <mergeCell ref="E2:L2"/>
    <mergeCell ref="M2:O2"/>
    <mergeCell ref="P2:T2"/>
    <mergeCell ref="B3:D3"/>
    <mergeCell ref="E3:L3"/>
    <mergeCell ref="M3:O3"/>
    <mergeCell ref="P3:T3"/>
    <mergeCell ref="B4:T4"/>
    <mergeCell ref="B5:T10"/>
    <mergeCell ref="B12:T13"/>
    <mergeCell ref="C15:H15"/>
    <mergeCell ref="I15:N15"/>
    <mergeCell ref="O15:P15"/>
    <mergeCell ref="Q15:R15"/>
    <mergeCell ref="S15:T15"/>
    <mergeCell ref="C16:H16"/>
    <mergeCell ref="I16:N16"/>
    <mergeCell ref="O16:P16"/>
    <mergeCell ref="Q16:R16"/>
    <mergeCell ref="S16:T16"/>
    <mergeCell ref="C17:H17"/>
    <mergeCell ref="I17:N17"/>
    <mergeCell ref="O17:P17"/>
    <mergeCell ref="Q17:R17"/>
    <mergeCell ref="S17:T17"/>
    <mergeCell ref="C18:H18"/>
    <mergeCell ref="I18:N18"/>
    <mergeCell ref="O18:P18"/>
    <mergeCell ref="Q18:R18"/>
    <mergeCell ref="S18:T18"/>
    <mergeCell ref="C19:H19"/>
    <mergeCell ref="I19:N19"/>
    <mergeCell ref="O19:P19"/>
    <mergeCell ref="Q19:R19"/>
    <mergeCell ref="S19:T19"/>
    <mergeCell ref="C20:H20"/>
    <mergeCell ref="I20:N20"/>
    <mergeCell ref="O20:P20"/>
    <mergeCell ref="Q20:R20"/>
    <mergeCell ref="S20:T20"/>
    <mergeCell ref="C21:H21"/>
    <mergeCell ref="I21:N21"/>
    <mergeCell ref="O21:P21"/>
    <mergeCell ref="Q21:R21"/>
    <mergeCell ref="S21:T21"/>
    <mergeCell ref="C22:H22"/>
    <mergeCell ref="I22:N22"/>
    <mergeCell ref="O22:P22"/>
    <mergeCell ref="Q22:R22"/>
    <mergeCell ref="S22:T22"/>
    <mergeCell ref="C23:H23"/>
    <mergeCell ref="I23:N23"/>
    <mergeCell ref="O23:P23"/>
    <mergeCell ref="Q23:R23"/>
    <mergeCell ref="S23:T23"/>
    <mergeCell ref="C24:H24"/>
    <mergeCell ref="I24:N24"/>
    <mergeCell ref="O24:P24"/>
    <mergeCell ref="Q24:R24"/>
    <mergeCell ref="S24:T24"/>
    <mergeCell ref="C25:H25"/>
    <mergeCell ref="I25:N25"/>
    <mergeCell ref="O25:P25"/>
    <mergeCell ref="Q25:R25"/>
    <mergeCell ref="S25:T25"/>
    <mergeCell ref="C26:H26"/>
    <mergeCell ref="I26:N26"/>
    <mergeCell ref="O26:P26"/>
    <mergeCell ref="Q26:R26"/>
    <mergeCell ref="S26:T26"/>
    <mergeCell ref="C27:H27"/>
    <mergeCell ref="I27:N27"/>
    <mergeCell ref="O27:P27"/>
    <mergeCell ref="Q27:R27"/>
    <mergeCell ref="S27:T27"/>
    <mergeCell ref="C28:H28"/>
    <mergeCell ref="I28:N28"/>
    <mergeCell ref="O28:P28"/>
    <mergeCell ref="Q28:R28"/>
    <mergeCell ref="S28:T28"/>
    <mergeCell ref="C29:H29"/>
    <mergeCell ref="I29:N29"/>
    <mergeCell ref="O29:P29"/>
    <mergeCell ref="Q29:R29"/>
    <mergeCell ref="S29:T29"/>
    <mergeCell ref="C30:H30"/>
    <mergeCell ref="I30:N30"/>
    <mergeCell ref="O30:P30"/>
    <mergeCell ref="Q30:R30"/>
    <mergeCell ref="S30:T30"/>
    <mergeCell ref="C33:H33"/>
    <mergeCell ref="I33:N33"/>
    <mergeCell ref="O33:P33"/>
    <mergeCell ref="Q33:R33"/>
    <mergeCell ref="S33:T33"/>
    <mergeCell ref="C31:H31"/>
    <mergeCell ref="I31:N31"/>
    <mergeCell ref="O31:P31"/>
    <mergeCell ref="Q31:R31"/>
    <mergeCell ref="S31:T31"/>
    <mergeCell ref="C32:H32"/>
    <mergeCell ref="I32:N32"/>
    <mergeCell ref="O32:P32"/>
    <mergeCell ref="Q32:R32"/>
    <mergeCell ref="S32:T32"/>
  </mergeCells>
  <phoneticPr fontId="45" type="noConversion"/>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B2:S85"/>
  <sheetViews>
    <sheetView topLeftCell="A13" zoomScale="85" zoomScaleNormal="85" workbookViewId="0">
      <selection activeCell="X21" sqref="X21"/>
    </sheetView>
  </sheetViews>
  <sheetFormatPr defaultRowHeight="16.5" x14ac:dyDescent="0.3"/>
  <cols>
    <col min="1" max="1" width="2.375" customWidth="1"/>
    <col min="2" max="19" width="8.875" style="9" customWidth="1"/>
    <col min="20" max="1025" width="8.875" customWidth="1"/>
  </cols>
  <sheetData>
    <row r="2" spans="2:19" ht="45" customHeight="1" x14ac:dyDescent="0.3">
      <c r="B2" s="290" t="s">
        <v>0</v>
      </c>
      <c r="C2" s="290"/>
      <c r="D2" s="290"/>
      <c r="E2" s="291" t="s">
        <v>1</v>
      </c>
      <c r="F2" s="291"/>
      <c r="G2" s="291"/>
      <c r="H2" s="291"/>
      <c r="I2" s="291"/>
      <c r="J2" s="291"/>
      <c r="K2" s="291"/>
      <c r="L2" s="291"/>
      <c r="M2" s="292" t="s">
        <v>2</v>
      </c>
      <c r="N2" s="292"/>
      <c r="O2" s="292"/>
      <c r="P2" s="293" t="s">
        <v>60</v>
      </c>
      <c r="Q2" s="293"/>
      <c r="R2" s="293"/>
      <c r="S2" s="293"/>
    </row>
    <row r="3" spans="2:19" ht="45" customHeight="1" x14ac:dyDescent="0.3">
      <c r="B3" s="294" t="s">
        <v>4</v>
      </c>
      <c r="C3" s="294"/>
      <c r="D3" s="294"/>
      <c r="E3" s="295" t="s">
        <v>5</v>
      </c>
      <c r="F3" s="295"/>
      <c r="G3" s="295"/>
      <c r="H3" s="295"/>
      <c r="I3" s="295"/>
      <c r="J3" s="295"/>
      <c r="K3" s="295"/>
      <c r="L3" s="295"/>
      <c r="M3" s="296" t="s">
        <v>6</v>
      </c>
      <c r="N3" s="296"/>
      <c r="O3" s="296"/>
      <c r="P3" s="297">
        <v>45398</v>
      </c>
      <c r="Q3" s="297"/>
      <c r="R3" s="297"/>
      <c r="S3" s="297"/>
    </row>
    <row r="4" spans="2:19" ht="45" customHeight="1" x14ac:dyDescent="0.3">
      <c r="B4" s="287" t="s">
        <v>61</v>
      </c>
      <c r="C4" s="287"/>
      <c r="D4" s="287"/>
      <c r="E4" s="287"/>
      <c r="F4" s="287"/>
      <c r="G4" s="287"/>
      <c r="H4" s="287"/>
      <c r="I4" s="287"/>
      <c r="J4" s="287"/>
      <c r="K4" s="287"/>
      <c r="L4" s="287"/>
      <c r="M4" s="287"/>
      <c r="N4" s="287"/>
      <c r="O4" s="287"/>
      <c r="P4" s="287"/>
      <c r="Q4" s="287"/>
      <c r="R4" s="287"/>
      <c r="S4" s="287"/>
    </row>
    <row r="5" spans="2:19" ht="45" customHeight="1" x14ac:dyDescent="0.3">
      <c r="B5" s="288" t="s">
        <v>62</v>
      </c>
      <c r="C5" s="288"/>
      <c r="D5" s="288"/>
      <c r="E5" s="288"/>
      <c r="F5" s="288"/>
      <c r="G5" s="288"/>
      <c r="H5" s="288"/>
      <c r="I5" s="288"/>
      <c r="J5" s="288"/>
      <c r="K5" s="288"/>
      <c r="L5" s="288"/>
      <c r="M5" s="288"/>
      <c r="N5" s="288"/>
      <c r="O5" s="288"/>
      <c r="P5" s="288"/>
      <c r="Q5" s="288"/>
      <c r="R5" s="288"/>
      <c r="S5" s="288"/>
    </row>
    <row r="6" spans="2:19" ht="45" customHeight="1" x14ac:dyDescent="0.3">
      <c r="B6" s="288"/>
      <c r="C6" s="288"/>
      <c r="D6" s="288"/>
      <c r="E6" s="288"/>
      <c r="F6" s="288"/>
      <c r="G6" s="288"/>
      <c r="H6" s="288"/>
      <c r="I6" s="288"/>
      <c r="J6" s="288"/>
      <c r="K6" s="288"/>
      <c r="L6" s="288"/>
      <c r="M6" s="288"/>
      <c r="N6" s="288"/>
      <c r="O6" s="288"/>
      <c r="P6" s="288"/>
      <c r="Q6" s="288"/>
      <c r="R6" s="288"/>
      <c r="S6" s="288"/>
    </row>
    <row r="7" spans="2:19" ht="45" customHeight="1" x14ac:dyDescent="0.3">
      <c r="B7" s="288"/>
      <c r="C7" s="288"/>
      <c r="D7" s="288"/>
      <c r="E7" s="288"/>
      <c r="F7" s="288"/>
      <c r="G7" s="288"/>
      <c r="H7" s="288"/>
      <c r="I7" s="288"/>
      <c r="J7" s="288"/>
      <c r="K7" s="288"/>
      <c r="L7" s="288"/>
      <c r="M7" s="288"/>
      <c r="N7" s="288"/>
      <c r="O7" s="288"/>
      <c r="P7" s="288"/>
      <c r="Q7" s="288"/>
      <c r="R7" s="288"/>
      <c r="S7" s="288"/>
    </row>
    <row r="9" spans="2:19" ht="45" customHeight="1" x14ac:dyDescent="0.3">
      <c r="B9" s="267" t="s">
        <v>63</v>
      </c>
      <c r="C9" s="267"/>
      <c r="D9" s="289" t="s">
        <v>64</v>
      </c>
      <c r="E9" s="289"/>
      <c r="F9" s="289"/>
      <c r="G9" s="289"/>
      <c r="H9" s="289"/>
      <c r="I9" s="289"/>
      <c r="J9" s="289"/>
      <c r="K9" s="289"/>
      <c r="L9" s="289"/>
      <c r="M9" s="289"/>
      <c r="N9" s="289"/>
      <c r="O9" s="289"/>
      <c r="P9" s="289"/>
      <c r="Q9" s="289"/>
      <c r="R9" s="289"/>
      <c r="S9" s="289"/>
    </row>
    <row r="10" spans="2:19" ht="45" customHeight="1" x14ac:dyDescent="0.3">
      <c r="B10" s="283" t="s">
        <v>65</v>
      </c>
      <c r="C10" s="283"/>
      <c r="D10" s="284" t="s">
        <v>66</v>
      </c>
      <c r="E10" s="284"/>
      <c r="F10" s="284"/>
      <c r="G10" s="284"/>
      <c r="H10" s="284"/>
      <c r="I10" s="284"/>
      <c r="J10" s="284"/>
      <c r="K10" s="284"/>
      <c r="L10" s="284"/>
      <c r="M10" s="284"/>
      <c r="N10" s="284"/>
      <c r="O10" s="284"/>
      <c r="P10" s="284"/>
      <c r="Q10" s="284"/>
      <c r="R10" s="284"/>
      <c r="S10" s="284"/>
    </row>
    <row r="11" spans="2:19" ht="45" customHeight="1" x14ac:dyDescent="0.3">
      <c r="B11" s="283" t="s">
        <v>67</v>
      </c>
      <c r="C11" s="283"/>
      <c r="D11" s="284" t="s">
        <v>68</v>
      </c>
      <c r="E11" s="284"/>
      <c r="F11" s="284"/>
      <c r="G11" s="284"/>
      <c r="H11" s="284"/>
      <c r="I11" s="284"/>
      <c r="J11" s="284"/>
      <c r="K11" s="284"/>
      <c r="L11" s="284"/>
      <c r="M11" s="284"/>
      <c r="N11" s="284"/>
      <c r="O11" s="284"/>
      <c r="P11" s="284"/>
      <c r="Q11" s="284"/>
      <c r="R11" s="284"/>
      <c r="S11" s="284"/>
    </row>
    <row r="12" spans="2:19" ht="45" customHeight="1" x14ac:dyDescent="0.3">
      <c r="B12" s="283" t="s">
        <v>69</v>
      </c>
      <c r="C12" s="283"/>
      <c r="D12" s="285" t="s">
        <v>70</v>
      </c>
      <c r="E12" s="285"/>
      <c r="F12" s="285"/>
      <c r="G12" s="285"/>
      <c r="H12" s="285"/>
      <c r="I12" s="285"/>
      <c r="J12" s="285"/>
      <c r="K12" s="285"/>
      <c r="L12" s="285"/>
      <c r="M12" s="285"/>
      <c r="N12" s="285"/>
      <c r="O12" s="285"/>
      <c r="P12" s="285"/>
      <c r="Q12" s="285"/>
      <c r="R12" s="285"/>
      <c r="S12" s="285"/>
    </row>
    <row r="13" spans="2:19" ht="45" customHeight="1" x14ac:dyDescent="0.3">
      <c r="B13" s="283"/>
      <c r="C13" s="283"/>
      <c r="D13" s="285"/>
      <c r="E13" s="285"/>
      <c r="F13" s="285"/>
      <c r="G13" s="285"/>
      <c r="H13" s="285"/>
      <c r="I13" s="285"/>
      <c r="J13" s="285"/>
      <c r="K13" s="285"/>
      <c r="L13" s="285"/>
      <c r="M13" s="285"/>
      <c r="N13" s="285"/>
      <c r="O13" s="285"/>
      <c r="P13" s="285"/>
      <c r="Q13" s="285"/>
      <c r="R13" s="285"/>
      <c r="S13" s="285"/>
    </row>
    <row r="14" spans="2:19" ht="45" customHeight="1" x14ac:dyDescent="0.3">
      <c r="B14" s="283"/>
      <c r="C14" s="283"/>
      <c r="D14" s="285"/>
      <c r="E14" s="285"/>
      <c r="F14" s="285"/>
      <c r="G14" s="285"/>
      <c r="H14" s="285"/>
      <c r="I14" s="285"/>
      <c r="J14" s="285"/>
      <c r="K14" s="285"/>
      <c r="L14" s="285"/>
      <c r="M14" s="285"/>
      <c r="N14" s="285"/>
      <c r="O14" s="285"/>
      <c r="P14" s="285"/>
      <c r="Q14" s="285"/>
      <c r="R14" s="285"/>
      <c r="S14" s="285"/>
    </row>
    <row r="15" spans="2:19" ht="45" customHeight="1" x14ac:dyDescent="0.3">
      <c r="B15" s="286" t="s">
        <v>71</v>
      </c>
      <c r="C15" s="286"/>
      <c r="D15" s="286"/>
      <c r="E15" s="286"/>
      <c r="F15" s="286"/>
      <c r="G15" s="286"/>
      <c r="H15" s="286"/>
      <c r="I15" s="286"/>
      <c r="J15" s="286"/>
      <c r="K15" s="286"/>
      <c r="L15" s="286"/>
      <c r="M15" s="286"/>
      <c r="N15" s="286"/>
      <c r="O15" s="286"/>
      <c r="P15" s="286"/>
      <c r="Q15" s="286"/>
      <c r="R15" s="286"/>
      <c r="S15" s="286"/>
    </row>
    <row r="16" spans="2:19" ht="45" customHeight="1" x14ac:dyDescent="0.3">
      <c r="B16" s="280" t="s">
        <v>72</v>
      </c>
      <c r="C16" s="280"/>
      <c r="D16" s="271" t="s">
        <v>73</v>
      </c>
      <c r="E16" s="271"/>
      <c r="F16" s="271" t="s">
        <v>74</v>
      </c>
      <c r="G16" s="271"/>
      <c r="H16" s="271"/>
      <c r="I16" s="271"/>
      <c r="J16" s="271"/>
      <c r="K16" s="271"/>
      <c r="L16" s="271"/>
      <c r="M16" s="271"/>
      <c r="N16" s="271"/>
      <c r="O16" s="271"/>
      <c r="P16" s="271"/>
      <c r="Q16" s="281" t="s">
        <v>75</v>
      </c>
      <c r="R16" s="281"/>
      <c r="S16" s="281"/>
    </row>
    <row r="17" spans="2:19" ht="45" customHeight="1" x14ac:dyDescent="0.3">
      <c r="B17" s="282" t="s">
        <v>76</v>
      </c>
      <c r="C17" s="282"/>
      <c r="D17" s="271" t="s">
        <v>77</v>
      </c>
      <c r="E17" s="271"/>
      <c r="F17" s="272" t="s">
        <v>78</v>
      </c>
      <c r="G17" s="272"/>
      <c r="H17" s="272"/>
      <c r="I17" s="272"/>
      <c r="J17" s="272"/>
      <c r="K17" s="272"/>
      <c r="L17" s="272"/>
      <c r="M17" s="272"/>
      <c r="N17" s="272"/>
      <c r="O17" s="272"/>
      <c r="P17" s="272"/>
      <c r="Q17" s="273" t="s">
        <v>79</v>
      </c>
      <c r="R17" s="273"/>
      <c r="S17" s="273"/>
    </row>
    <row r="18" spans="2:19" ht="45" customHeight="1" x14ac:dyDescent="0.3">
      <c r="B18" s="282"/>
      <c r="C18" s="282"/>
      <c r="D18" s="271"/>
      <c r="E18" s="271"/>
      <c r="F18" s="272"/>
      <c r="G18" s="272"/>
      <c r="H18" s="272"/>
      <c r="I18" s="272"/>
      <c r="J18" s="272"/>
      <c r="K18" s="272"/>
      <c r="L18" s="272"/>
      <c r="M18" s="272"/>
      <c r="N18" s="272"/>
      <c r="O18" s="272"/>
      <c r="P18" s="272"/>
      <c r="Q18" s="273"/>
      <c r="R18" s="273"/>
      <c r="S18" s="273"/>
    </row>
    <row r="19" spans="2:19" ht="45" customHeight="1" x14ac:dyDescent="0.3">
      <c r="B19" s="282"/>
      <c r="C19" s="282"/>
      <c r="D19" s="271" t="s">
        <v>80</v>
      </c>
      <c r="E19" s="271"/>
      <c r="F19" s="272" t="s">
        <v>81</v>
      </c>
      <c r="G19" s="272"/>
      <c r="H19" s="272"/>
      <c r="I19" s="272"/>
      <c r="J19" s="272"/>
      <c r="K19" s="272"/>
      <c r="L19" s="272"/>
      <c r="M19" s="272"/>
      <c r="N19" s="272"/>
      <c r="O19" s="272"/>
      <c r="P19" s="272"/>
      <c r="Q19" s="273" t="s">
        <v>82</v>
      </c>
      <c r="R19" s="273"/>
      <c r="S19" s="273"/>
    </row>
    <row r="20" spans="2:19" ht="45" customHeight="1" x14ac:dyDescent="0.3">
      <c r="B20" s="282"/>
      <c r="C20" s="282"/>
      <c r="D20" s="271"/>
      <c r="E20" s="271"/>
      <c r="F20" s="272"/>
      <c r="G20" s="272"/>
      <c r="H20" s="272"/>
      <c r="I20" s="272"/>
      <c r="J20" s="272"/>
      <c r="K20" s="272"/>
      <c r="L20" s="272"/>
      <c r="M20" s="272"/>
      <c r="N20" s="272"/>
      <c r="O20" s="272"/>
      <c r="P20" s="272"/>
      <c r="Q20" s="273"/>
      <c r="R20" s="273"/>
      <c r="S20" s="273"/>
    </row>
    <row r="21" spans="2:19" ht="45" customHeight="1" x14ac:dyDescent="0.3">
      <c r="B21" s="282"/>
      <c r="C21" s="282"/>
      <c r="D21" s="271" t="s">
        <v>83</v>
      </c>
      <c r="E21" s="271"/>
      <c r="F21" s="272" t="s">
        <v>84</v>
      </c>
      <c r="G21" s="272"/>
      <c r="H21" s="272"/>
      <c r="I21" s="272"/>
      <c r="J21" s="272"/>
      <c r="K21" s="272"/>
      <c r="L21" s="272"/>
      <c r="M21" s="272"/>
      <c r="N21" s="272"/>
      <c r="O21" s="272"/>
      <c r="P21" s="272"/>
      <c r="Q21" s="273" t="s">
        <v>84</v>
      </c>
      <c r="R21" s="273"/>
      <c r="S21" s="273"/>
    </row>
    <row r="22" spans="2:19" ht="45" customHeight="1" x14ac:dyDescent="0.3">
      <c r="B22" s="282"/>
      <c r="C22" s="282"/>
      <c r="D22" s="271"/>
      <c r="E22" s="271"/>
      <c r="F22" s="272"/>
      <c r="G22" s="272"/>
      <c r="H22" s="272"/>
      <c r="I22" s="272"/>
      <c r="J22" s="272"/>
      <c r="K22" s="272"/>
      <c r="L22" s="272"/>
      <c r="M22" s="272"/>
      <c r="N22" s="272"/>
      <c r="O22" s="272"/>
      <c r="P22" s="272"/>
      <c r="Q22" s="273"/>
      <c r="R22" s="273"/>
      <c r="S22" s="273"/>
    </row>
    <row r="23" spans="2:19" ht="45" customHeight="1" x14ac:dyDescent="0.3">
      <c r="B23" s="282"/>
      <c r="C23" s="282"/>
      <c r="D23" s="271" t="s">
        <v>85</v>
      </c>
      <c r="E23" s="271"/>
      <c r="F23" s="275" t="s">
        <v>86</v>
      </c>
      <c r="G23" s="275"/>
      <c r="H23" s="275"/>
      <c r="I23" s="272" t="s">
        <v>87</v>
      </c>
      <c r="J23" s="272"/>
      <c r="K23" s="272"/>
      <c r="L23" s="272"/>
      <c r="M23" s="272"/>
      <c r="N23" s="272"/>
      <c r="O23" s="272"/>
      <c r="P23" s="272"/>
      <c r="Q23" s="273" t="s">
        <v>88</v>
      </c>
      <c r="R23" s="273"/>
      <c r="S23" s="273"/>
    </row>
    <row r="24" spans="2:19" ht="45" customHeight="1" x14ac:dyDescent="0.3">
      <c r="B24" s="282"/>
      <c r="C24" s="282"/>
      <c r="D24" s="271"/>
      <c r="E24" s="271"/>
      <c r="F24" s="275"/>
      <c r="G24" s="275"/>
      <c r="H24" s="275"/>
      <c r="I24" s="272"/>
      <c r="J24" s="272"/>
      <c r="K24" s="272"/>
      <c r="L24" s="272"/>
      <c r="M24" s="272"/>
      <c r="N24" s="272"/>
      <c r="O24" s="272"/>
      <c r="P24" s="272"/>
      <c r="Q24" s="273"/>
      <c r="R24" s="273"/>
      <c r="S24" s="273"/>
    </row>
    <row r="25" spans="2:19" ht="45" customHeight="1" x14ac:dyDescent="0.3">
      <c r="B25" s="282"/>
      <c r="C25" s="282"/>
      <c r="D25" s="271"/>
      <c r="E25" s="271"/>
      <c r="F25" s="275" t="s">
        <v>89</v>
      </c>
      <c r="G25" s="275"/>
      <c r="H25" s="275"/>
      <c r="I25" s="279" t="s">
        <v>90</v>
      </c>
      <c r="J25" s="279"/>
      <c r="K25" s="279"/>
      <c r="L25" s="279"/>
      <c r="M25" s="279"/>
      <c r="N25" s="279"/>
      <c r="O25" s="279"/>
      <c r="P25" s="279"/>
      <c r="Q25" s="273"/>
      <c r="R25" s="273"/>
      <c r="S25" s="273"/>
    </row>
    <row r="26" spans="2:19" ht="45" customHeight="1" x14ac:dyDescent="0.3">
      <c r="B26" s="282"/>
      <c r="C26" s="282"/>
      <c r="D26" s="271"/>
      <c r="E26" s="271"/>
      <c r="F26" s="275"/>
      <c r="G26" s="275"/>
      <c r="H26" s="275"/>
      <c r="I26" s="279"/>
      <c r="J26" s="279"/>
      <c r="K26" s="279"/>
      <c r="L26" s="279"/>
      <c r="M26" s="279"/>
      <c r="N26" s="279"/>
      <c r="O26" s="279"/>
      <c r="P26" s="279"/>
      <c r="Q26" s="273"/>
      <c r="R26" s="273"/>
      <c r="S26" s="273"/>
    </row>
    <row r="27" spans="2:19" ht="45" customHeight="1" x14ac:dyDescent="0.3">
      <c r="B27" s="282"/>
      <c r="C27" s="282"/>
      <c r="D27" s="271" t="s">
        <v>91</v>
      </c>
      <c r="E27" s="271"/>
      <c r="F27" s="279" t="s">
        <v>92</v>
      </c>
      <c r="G27" s="279"/>
      <c r="H27" s="279"/>
      <c r="I27" s="279"/>
      <c r="J27" s="279"/>
      <c r="K27" s="279"/>
      <c r="L27" s="279"/>
      <c r="M27" s="279"/>
      <c r="N27" s="279"/>
      <c r="O27" s="279"/>
      <c r="P27" s="279"/>
      <c r="Q27" s="273" t="s">
        <v>88</v>
      </c>
      <c r="R27" s="273"/>
      <c r="S27" s="273"/>
    </row>
    <row r="28" spans="2:19" ht="45" customHeight="1" x14ac:dyDescent="0.3">
      <c r="B28" s="282"/>
      <c r="C28" s="282"/>
      <c r="D28" s="271"/>
      <c r="E28" s="271"/>
      <c r="F28" s="279"/>
      <c r="G28" s="279"/>
      <c r="H28" s="279"/>
      <c r="I28" s="279"/>
      <c r="J28" s="279"/>
      <c r="K28" s="279"/>
      <c r="L28" s="279"/>
      <c r="M28" s="279"/>
      <c r="N28" s="279"/>
      <c r="O28" s="279"/>
      <c r="P28" s="279"/>
      <c r="Q28" s="273"/>
      <c r="R28" s="273"/>
      <c r="S28" s="273"/>
    </row>
    <row r="29" spans="2:19" ht="45" customHeight="1" x14ac:dyDescent="0.3">
      <c r="B29" s="282"/>
      <c r="C29" s="282"/>
      <c r="D29" s="271" t="s">
        <v>93</v>
      </c>
      <c r="E29" s="271"/>
      <c r="F29" s="272" t="s">
        <v>94</v>
      </c>
      <c r="G29" s="272"/>
      <c r="H29" s="272"/>
      <c r="I29" s="272"/>
      <c r="J29" s="272"/>
      <c r="K29" s="272"/>
      <c r="L29" s="272"/>
      <c r="M29" s="272"/>
      <c r="N29" s="272"/>
      <c r="O29" s="272"/>
      <c r="P29" s="272"/>
      <c r="Q29" s="273" t="s">
        <v>95</v>
      </c>
      <c r="R29" s="273"/>
      <c r="S29" s="273"/>
    </row>
    <row r="30" spans="2:19" ht="45" customHeight="1" x14ac:dyDescent="0.3">
      <c r="B30" s="282"/>
      <c r="C30" s="282"/>
      <c r="D30" s="271"/>
      <c r="E30" s="271"/>
      <c r="F30" s="272"/>
      <c r="G30" s="272"/>
      <c r="H30" s="272"/>
      <c r="I30" s="272"/>
      <c r="J30" s="272"/>
      <c r="K30" s="272"/>
      <c r="L30" s="272"/>
      <c r="M30" s="272"/>
      <c r="N30" s="272"/>
      <c r="O30" s="272"/>
      <c r="P30" s="272"/>
      <c r="Q30" s="273"/>
      <c r="R30" s="273"/>
      <c r="S30" s="273"/>
    </row>
    <row r="31" spans="2:19" ht="45" customHeight="1" x14ac:dyDescent="0.3">
      <c r="B31" s="282"/>
      <c r="C31" s="282"/>
      <c r="D31" s="274" t="s">
        <v>96</v>
      </c>
      <c r="E31" s="274"/>
      <c r="F31" s="275" t="s">
        <v>97</v>
      </c>
      <c r="G31" s="275"/>
      <c r="H31" s="275"/>
      <c r="I31" s="272" t="s">
        <v>98</v>
      </c>
      <c r="J31" s="272"/>
      <c r="K31" s="272"/>
      <c r="L31" s="272"/>
      <c r="M31" s="272"/>
      <c r="N31" s="272"/>
      <c r="O31" s="272"/>
      <c r="P31" s="272"/>
      <c r="Q31" s="273" t="s">
        <v>99</v>
      </c>
      <c r="R31" s="273"/>
      <c r="S31" s="273"/>
    </row>
    <row r="32" spans="2:19" ht="45" customHeight="1" x14ac:dyDescent="0.3">
      <c r="B32" s="282"/>
      <c r="C32" s="282"/>
      <c r="D32" s="274"/>
      <c r="E32" s="274"/>
      <c r="F32" s="275"/>
      <c r="G32" s="275"/>
      <c r="H32" s="275"/>
      <c r="I32" s="272"/>
      <c r="J32" s="272"/>
      <c r="K32" s="272"/>
      <c r="L32" s="272"/>
      <c r="M32" s="272"/>
      <c r="N32" s="272"/>
      <c r="O32" s="272"/>
      <c r="P32" s="272"/>
      <c r="Q32" s="273"/>
      <c r="R32" s="273"/>
      <c r="S32" s="273"/>
    </row>
    <row r="33" spans="2:19" ht="45" customHeight="1" x14ac:dyDescent="0.3">
      <c r="B33" s="282"/>
      <c r="C33" s="282"/>
      <c r="D33" s="274"/>
      <c r="E33" s="274"/>
      <c r="F33" s="276" t="s">
        <v>100</v>
      </c>
      <c r="G33" s="276"/>
      <c r="H33" s="276"/>
      <c r="I33" s="277" t="s">
        <v>101</v>
      </c>
      <c r="J33" s="277"/>
      <c r="K33" s="277"/>
      <c r="L33" s="277"/>
      <c r="M33" s="277"/>
      <c r="N33" s="277"/>
      <c r="O33" s="277"/>
      <c r="P33" s="277"/>
      <c r="Q33" s="278" t="s">
        <v>88</v>
      </c>
      <c r="R33" s="278"/>
      <c r="S33" s="278"/>
    </row>
    <row r="34" spans="2:19" ht="45" customHeight="1" x14ac:dyDescent="0.3">
      <c r="B34" s="282"/>
      <c r="C34" s="282"/>
      <c r="D34" s="274"/>
      <c r="E34" s="274"/>
      <c r="F34" s="276"/>
      <c r="G34" s="276"/>
      <c r="H34" s="276"/>
      <c r="I34" s="277"/>
      <c r="J34" s="277"/>
      <c r="K34" s="277"/>
      <c r="L34" s="277"/>
      <c r="M34" s="277"/>
      <c r="N34" s="277"/>
      <c r="O34" s="277"/>
      <c r="P34" s="277"/>
      <c r="Q34" s="278"/>
      <c r="R34" s="278"/>
      <c r="S34" s="278"/>
    </row>
    <row r="35" spans="2:19" ht="45" customHeight="1" x14ac:dyDescent="0.3">
      <c r="B35" s="267" t="s">
        <v>102</v>
      </c>
      <c r="C35" s="267"/>
      <c r="D35" s="268" t="s">
        <v>103</v>
      </c>
      <c r="E35" s="268"/>
      <c r="F35" s="268"/>
      <c r="G35" s="268"/>
      <c r="H35" s="268"/>
      <c r="I35" s="268"/>
      <c r="J35" s="268"/>
      <c r="K35" s="268"/>
      <c r="L35" s="268"/>
      <c r="M35" s="268"/>
      <c r="N35" s="268"/>
      <c r="O35" s="268"/>
      <c r="P35" s="268"/>
      <c r="Q35" s="268"/>
      <c r="R35" s="268"/>
      <c r="S35" s="268"/>
    </row>
    <row r="36" spans="2:19" ht="45" customHeight="1" x14ac:dyDescent="0.3">
      <c r="B36" s="267"/>
      <c r="C36" s="267"/>
      <c r="D36" s="269" t="s">
        <v>104</v>
      </c>
      <c r="E36" s="269"/>
      <c r="F36" s="269"/>
      <c r="G36" s="269"/>
      <c r="H36" s="269"/>
      <c r="I36" s="269"/>
      <c r="J36" s="269"/>
      <c r="K36" s="269"/>
      <c r="L36" s="269"/>
      <c r="M36" s="269"/>
      <c r="N36" s="269"/>
      <c r="O36" s="269"/>
      <c r="P36" s="269"/>
      <c r="Q36" s="269"/>
      <c r="R36" s="269"/>
      <c r="S36" s="269"/>
    </row>
    <row r="37" spans="2:19" ht="45" customHeight="1" x14ac:dyDescent="0.3">
      <c r="B37" s="267"/>
      <c r="C37" s="267"/>
      <c r="D37" s="269" t="s">
        <v>105</v>
      </c>
      <c r="E37" s="269"/>
      <c r="F37" s="269"/>
      <c r="G37" s="269"/>
      <c r="H37" s="269"/>
      <c r="I37" s="269"/>
      <c r="J37" s="269"/>
      <c r="K37" s="269"/>
      <c r="L37" s="269"/>
      <c r="M37" s="269"/>
      <c r="N37" s="269"/>
      <c r="O37" s="269"/>
      <c r="P37" s="269"/>
      <c r="Q37" s="269"/>
      <c r="R37" s="269"/>
      <c r="S37" s="269"/>
    </row>
    <row r="38" spans="2:19" ht="45" customHeight="1" x14ac:dyDescent="0.3">
      <c r="B38" s="267"/>
      <c r="C38" s="267"/>
      <c r="D38" s="269" t="s">
        <v>106</v>
      </c>
      <c r="E38" s="269"/>
      <c r="F38" s="269"/>
      <c r="G38" s="269"/>
      <c r="H38" s="269"/>
      <c r="I38" s="269"/>
      <c r="J38" s="269"/>
      <c r="K38" s="269"/>
      <c r="L38" s="269"/>
      <c r="M38" s="269"/>
      <c r="N38" s="269"/>
      <c r="O38" s="269"/>
      <c r="P38" s="269"/>
      <c r="Q38" s="269"/>
      <c r="R38" s="269"/>
      <c r="S38" s="269"/>
    </row>
    <row r="39" spans="2:19" ht="45" customHeight="1" x14ac:dyDescent="0.3">
      <c r="B39" s="267"/>
      <c r="C39" s="267"/>
      <c r="D39" s="269" t="s">
        <v>107</v>
      </c>
      <c r="E39" s="269"/>
      <c r="F39" s="269"/>
      <c r="G39" s="269"/>
      <c r="H39" s="269"/>
      <c r="I39" s="269"/>
      <c r="J39" s="269"/>
      <c r="K39" s="269"/>
      <c r="L39" s="269"/>
      <c r="M39" s="269"/>
      <c r="N39" s="269"/>
      <c r="O39" s="269"/>
      <c r="P39" s="269"/>
      <c r="Q39" s="269"/>
      <c r="R39" s="269"/>
      <c r="S39" s="269"/>
    </row>
    <row r="40" spans="2:19" ht="45" customHeight="1" x14ac:dyDescent="0.3">
      <c r="B40" s="267"/>
      <c r="C40" s="267"/>
      <c r="D40" s="270"/>
      <c r="E40" s="270"/>
      <c r="F40" s="270"/>
      <c r="G40" s="270"/>
      <c r="H40" s="270"/>
      <c r="I40" s="270"/>
      <c r="J40" s="270"/>
      <c r="K40" s="270"/>
      <c r="L40" s="270"/>
      <c r="M40" s="270"/>
      <c r="N40" s="270"/>
      <c r="O40" s="270"/>
      <c r="P40" s="270"/>
      <c r="Q40" s="270"/>
      <c r="R40" s="270"/>
      <c r="S40" s="270"/>
    </row>
    <row r="41" spans="2:19" ht="45" customHeight="1" x14ac:dyDescent="0.3">
      <c r="B41" s="263" t="s">
        <v>108</v>
      </c>
      <c r="C41" s="263"/>
      <c r="D41" s="264" t="s">
        <v>109</v>
      </c>
      <c r="E41" s="264"/>
      <c r="F41" s="264"/>
      <c r="G41" s="264"/>
      <c r="H41" s="264"/>
      <c r="I41" s="264"/>
      <c r="J41" s="264"/>
      <c r="K41" s="264"/>
      <c r="L41" s="264"/>
      <c r="M41" s="264"/>
      <c r="N41" s="264"/>
      <c r="O41" s="264"/>
      <c r="P41" s="264"/>
      <c r="Q41" s="264"/>
      <c r="R41" s="264"/>
      <c r="S41" s="264"/>
    </row>
    <row r="42" spans="2:19" ht="45" customHeight="1" x14ac:dyDescent="0.3">
      <c r="B42" s="263"/>
      <c r="C42" s="263"/>
      <c r="D42" s="265" t="s">
        <v>110</v>
      </c>
      <c r="E42" s="265"/>
      <c r="F42" s="265"/>
      <c r="G42" s="265"/>
      <c r="H42" s="265"/>
      <c r="I42" s="265"/>
      <c r="J42" s="265"/>
      <c r="K42" s="265"/>
      <c r="L42" s="265"/>
      <c r="M42" s="265"/>
      <c r="N42" s="265"/>
      <c r="O42" s="265"/>
      <c r="P42" s="265"/>
      <c r="Q42" s="265"/>
      <c r="R42" s="265"/>
      <c r="S42" s="265"/>
    </row>
    <row r="43" spans="2:19" ht="45" customHeight="1" x14ac:dyDescent="0.3">
      <c r="B43" s="263"/>
      <c r="C43" s="263"/>
      <c r="D43" s="265" t="s">
        <v>111</v>
      </c>
      <c r="E43" s="265"/>
      <c r="F43" s="265"/>
      <c r="G43" s="265"/>
      <c r="H43" s="265"/>
      <c r="I43" s="265"/>
      <c r="J43" s="265"/>
      <c r="K43" s="265"/>
      <c r="L43" s="265"/>
      <c r="M43" s="265"/>
      <c r="N43" s="265"/>
      <c r="O43" s="265"/>
      <c r="P43" s="265"/>
      <c r="Q43" s="265"/>
      <c r="R43" s="265"/>
      <c r="S43" s="265"/>
    </row>
    <row r="44" spans="2:19" ht="45" customHeight="1" x14ac:dyDescent="0.3">
      <c r="B44" s="263"/>
      <c r="C44" s="263"/>
      <c r="D44" s="266" t="s">
        <v>112</v>
      </c>
      <c r="E44" s="266"/>
      <c r="F44" s="266"/>
      <c r="G44" s="266"/>
      <c r="H44" s="266"/>
      <c r="I44" s="266"/>
      <c r="J44" s="266"/>
      <c r="K44" s="266"/>
      <c r="L44" s="266"/>
      <c r="M44" s="266"/>
      <c r="N44" s="266"/>
      <c r="O44" s="266"/>
      <c r="P44" s="266"/>
      <c r="Q44" s="266"/>
      <c r="R44" s="266"/>
      <c r="S44" s="266"/>
    </row>
    <row r="45" spans="2:19" ht="45" customHeight="1" x14ac:dyDescent="0.3">
      <c r="B45" s="259" t="s">
        <v>113</v>
      </c>
      <c r="C45" s="259"/>
      <c r="D45" s="260" t="s">
        <v>114</v>
      </c>
      <c r="E45" s="260"/>
      <c r="F45" s="260"/>
      <c r="G45" s="260"/>
      <c r="H45" s="260"/>
      <c r="I45" s="260"/>
      <c r="J45" s="260"/>
      <c r="K45" s="260"/>
      <c r="L45" s="260"/>
      <c r="M45" s="260"/>
      <c r="N45" s="260"/>
      <c r="O45" s="260"/>
      <c r="P45" s="260"/>
      <c r="Q45" s="260"/>
      <c r="R45" s="260"/>
      <c r="S45" s="260"/>
    </row>
    <row r="46" spans="2:19" ht="45" customHeight="1" x14ac:dyDescent="0.3">
      <c r="B46" s="259"/>
      <c r="C46" s="259"/>
      <c r="D46" s="261"/>
      <c r="E46" s="261"/>
      <c r="F46" s="261"/>
      <c r="G46" s="261"/>
      <c r="H46" s="261"/>
      <c r="I46" s="261"/>
      <c r="J46" s="261"/>
      <c r="K46" s="261"/>
      <c r="L46" s="261"/>
      <c r="M46" s="261"/>
      <c r="N46" s="261"/>
      <c r="O46" s="261"/>
      <c r="P46" s="261"/>
      <c r="Q46" s="261"/>
      <c r="R46" s="261"/>
      <c r="S46" s="261"/>
    </row>
    <row r="47" spans="2:19" ht="45" customHeight="1" x14ac:dyDescent="0.3">
      <c r="B47" s="259"/>
      <c r="C47" s="259"/>
      <c r="D47" s="261"/>
      <c r="E47" s="261"/>
      <c r="F47" s="261"/>
      <c r="G47" s="261"/>
      <c r="H47" s="261"/>
      <c r="I47" s="261"/>
      <c r="J47" s="261"/>
      <c r="K47" s="261"/>
      <c r="L47" s="261"/>
      <c r="M47" s="261"/>
      <c r="N47" s="261"/>
      <c r="O47" s="261"/>
      <c r="P47" s="261"/>
      <c r="Q47" s="261"/>
      <c r="R47" s="261"/>
      <c r="S47" s="261"/>
    </row>
    <row r="48" spans="2:19" ht="45" customHeight="1" x14ac:dyDescent="0.3">
      <c r="B48" s="259"/>
      <c r="C48" s="259"/>
      <c r="D48" s="262"/>
      <c r="E48" s="262"/>
      <c r="F48" s="262"/>
      <c r="G48" s="262"/>
      <c r="H48" s="262"/>
      <c r="I48" s="262"/>
      <c r="J48" s="262"/>
      <c r="K48" s="262"/>
      <c r="L48" s="262"/>
      <c r="M48" s="262"/>
      <c r="N48" s="262"/>
      <c r="O48" s="262"/>
      <c r="P48" s="262"/>
      <c r="Q48" s="262"/>
      <c r="R48" s="262"/>
      <c r="S48" s="262"/>
    </row>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30" customHeight="1" x14ac:dyDescent="0.3"/>
    <row r="62" ht="30" customHeight="1" x14ac:dyDescent="0.3"/>
    <row r="63" ht="30" customHeight="1" x14ac:dyDescent="0.3"/>
    <row r="6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7" ht="30" customHeight="1" x14ac:dyDescent="0.3"/>
    <row r="78" ht="30" customHeight="1" x14ac:dyDescent="0.3"/>
    <row r="79" ht="30" customHeight="1" x14ac:dyDescent="0.3"/>
    <row r="80" ht="30" customHeight="1" x14ac:dyDescent="0.3"/>
    <row r="81" ht="30" customHeight="1" x14ac:dyDescent="0.3"/>
    <row r="82" ht="30" customHeight="1" x14ac:dyDescent="0.3"/>
    <row r="83" ht="30" customHeight="1" x14ac:dyDescent="0.3"/>
    <row r="84" ht="30" customHeight="1" x14ac:dyDescent="0.3"/>
    <row r="85" ht="30" customHeight="1" x14ac:dyDescent="0.3"/>
  </sheetData>
  <mergeCells count="69">
    <mergeCell ref="B2:D2"/>
    <mergeCell ref="E2:L2"/>
    <mergeCell ref="M2:O2"/>
    <mergeCell ref="P2:S2"/>
    <mergeCell ref="B3:D3"/>
    <mergeCell ref="E3:L3"/>
    <mergeCell ref="M3:O3"/>
    <mergeCell ref="P3:S3"/>
    <mergeCell ref="B4:S4"/>
    <mergeCell ref="B5:S7"/>
    <mergeCell ref="B9:C9"/>
    <mergeCell ref="D9:S9"/>
    <mergeCell ref="B10:C10"/>
    <mergeCell ref="D10:S10"/>
    <mergeCell ref="B11:C11"/>
    <mergeCell ref="D11:S11"/>
    <mergeCell ref="B12:C14"/>
    <mergeCell ref="D12:S14"/>
    <mergeCell ref="B15:S15"/>
    <mergeCell ref="B16:C16"/>
    <mergeCell ref="D16:E16"/>
    <mergeCell ref="F16:P16"/>
    <mergeCell ref="Q16:S16"/>
    <mergeCell ref="B17:C34"/>
    <mergeCell ref="D17:E18"/>
    <mergeCell ref="F17:P18"/>
    <mergeCell ref="Q17:S18"/>
    <mergeCell ref="D19:E20"/>
    <mergeCell ref="F19:P20"/>
    <mergeCell ref="Q19:S20"/>
    <mergeCell ref="D21:E22"/>
    <mergeCell ref="F21:P22"/>
    <mergeCell ref="Q21:S22"/>
    <mergeCell ref="D23:E26"/>
    <mergeCell ref="F23:H24"/>
    <mergeCell ref="I23:P24"/>
    <mergeCell ref="Q23:S26"/>
    <mergeCell ref="F25:H26"/>
    <mergeCell ref="I25:P26"/>
    <mergeCell ref="D27:E28"/>
    <mergeCell ref="F27:P28"/>
    <mergeCell ref="Q27:S28"/>
    <mergeCell ref="D29:E30"/>
    <mergeCell ref="F29:P30"/>
    <mergeCell ref="Q29:S30"/>
    <mergeCell ref="D31:E34"/>
    <mergeCell ref="F31:H32"/>
    <mergeCell ref="I31:P32"/>
    <mergeCell ref="Q31:S32"/>
    <mergeCell ref="F33:H34"/>
    <mergeCell ref="I33:P34"/>
    <mergeCell ref="Q33:S34"/>
    <mergeCell ref="B35:C40"/>
    <mergeCell ref="D35:S35"/>
    <mergeCell ref="D36:S36"/>
    <mergeCell ref="D37:S37"/>
    <mergeCell ref="D38:S38"/>
    <mergeCell ref="D39:S39"/>
    <mergeCell ref="D40:S40"/>
    <mergeCell ref="B41:C44"/>
    <mergeCell ref="D41:S41"/>
    <mergeCell ref="D42:S42"/>
    <mergeCell ref="D43:S43"/>
    <mergeCell ref="D44:S44"/>
    <mergeCell ref="B45:C48"/>
    <mergeCell ref="D45:S45"/>
    <mergeCell ref="D46:S46"/>
    <mergeCell ref="D47:S47"/>
    <mergeCell ref="D48:S48"/>
  </mergeCells>
  <phoneticPr fontId="45" type="noConversion"/>
  <pageMargins left="0.7" right="0.7" top="0.75" bottom="0.75" header="0.51180555555555496" footer="0.51180555555555496"/>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132"/>
  <sheetViews>
    <sheetView topLeftCell="A19" zoomScale="85" zoomScaleNormal="85" workbookViewId="0">
      <selection activeCell="B4" sqref="B4"/>
    </sheetView>
  </sheetViews>
  <sheetFormatPr defaultRowHeight="16.5" x14ac:dyDescent="0.3"/>
  <cols>
    <col min="1" max="1" width="3.375" customWidth="1"/>
    <col min="2" max="1025" width="9" customWidth="1"/>
  </cols>
  <sheetData>
    <row r="2" spans="2:20" ht="24.95" customHeight="1" x14ac:dyDescent="0.3">
      <c r="B2" s="236" t="s">
        <v>0</v>
      </c>
      <c r="C2" s="236"/>
      <c r="D2" s="236"/>
      <c r="E2" s="237" t="s">
        <v>1</v>
      </c>
      <c r="F2" s="237"/>
      <c r="G2" s="237"/>
      <c r="H2" s="237"/>
      <c r="I2" s="237"/>
      <c r="J2" s="237"/>
      <c r="K2" s="237"/>
      <c r="L2" s="237"/>
      <c r="M2" s="238" t="s">
        <v>2</v>
      </c>
      <c r="N2" s="238"/>
      <c r="O2" s="238"/>
      <c r="P2" s="239" t="str">
        <f>'00_팀프로젝트_큰틀'!P2</f>
        <v>홍길순</v>
      </c>
      <c r="Q2" s="239"/>
      <c r="R2" s="239"/>
      <c r="S2" s="239"/>
      <c r="T2" s="239"/>
    </row>
    <row r="3" spans="2:20" ht="24.95" customHeight="1" x14ac:dyDescent="0.3">
      <c r="B3" s="240" t="s">
        <v>4</v>
      </c>
      <c r="C3" s="240"/>
      <c r="D3" s="240"/>
      <c r="E3" s="241" t="s">
        <v>5</v>
      </c>
      <c r="F3" s="241"/>
      <c r="G3" s="241"/>
      <c r="H3" s="241"/>
      <c r="I3" s="241"/>
      <c r="J3" s="241"/>
      <c r="K3" s="241"/>
      <c r="L3" s="241"/>
      <c r="M3" s="242" t="s">
        <v>6</v>
      </c>
      <c r="N3" s="242"/>
      <c r="O3" s="242"/>
      <c r="P3" s="243">
        <v>44806</v>
      </c>
      <c r="Q3" s="243"/>
      <c r="R3" s="243"/>
      <c r="S3" s="243"/>
      <c r="T3" s="243"/>
    </row>
    <row r="4" spans="2:20" ht="24.95" customHeight="1" x14ac:dyDescent="0.3">
      <c r="B4" s="234" t="s">
        <v>61</v>
      </c>
      <c r="C4" s="234"/>
      <c r="D4" s="234"/>
      <c r="E4" s="234"/>
      <c r="F4" s="234"/>
      <c r="G4" s="234"/>
      <c r="H4" s="234"/>
      <c r="I4" s="234"/>
      <c r="J4" s="234"/>
      <c r="K4" s="234"/>
      <c r="L4" s="234"/>
      <c r="M4" s="234"/>
      <c r="N4" s="234"/>
      <c r="O4" s="234"/>
      <c r="P4" s="234"/>
      <c r="Q4" s="234"/>
      <c r="R4" s="234"/>
      <c r="S4" s="234"/>
      <c r="T4" s="234"/>
    </row>
    <row r="5" spans="2:20" ht="24.95" customHeight="1" x14ac:dyDescent="0.3">
      <c r="B5" s="254" t="s">
        <v>115</v>
      </c>
      <c r="C5" s="254"/>
      <c r="D5" s="254"/>
      <c r="E5" s="254"/>
      <c r="F5" s="254"/>
      <c r="G5" s="254"/>
      <c r="H5" s="254"/>
      <c r="I5" s="254"/>
      <c r="J5" s="254"/>
      <c r="K5" s="254"/>
      <c r="L5" s="254"/>
      <c r="M5" s="254"/>
      <c r="N5" s="254"/>
      <c r="O5" s="254"/>
      <c r="P5" s="254"/>
      <c r="Q5" s="254"/>
      <c r="R5" s="254"/>
      <c r="S5" s="254"/>
      <c r="T5" s="254"/>
    </row>
    <row r="6" spans="2:20" ht="39.950000000000003" customHeight="1" x14ac:dyDescent="0.3">
      <c r="B6" s="254"/>
      <c r="C6" s="254"/>
      <c r="D6" s="254"/>
      <c r="E6" s="254"/>
      <c r="F6" s="254"/>
      <c r="G6" s="254"/>
      <c r="H6" s="254"/>
      <c r="I6" s="254"/>
      <c r="J6" s="254"/>
      <c r="K6" s="254"/>
      <c r="L6" s="254"/>
      <c r="M6" s="254"/>
      <c r="N6" s="254"/>
      <c r="O6" s="254"/>
      <c r="P6" s="254"/>
      <c r="Q6" s="254"/>
      <c r="R6" s="254"/>
      <c r="S6" s="254"/>
      <c r="T6" s="254"/>
    </row>
    <row r="7" spans="2:20" ht="39.950000000000003" customHeight="1" x14ac:dyDescent="0.3">
      <c r="B7" s="254"/>
      <c r="C7" s="254"/>
      <c r="D7" s="254"/>
      <c r="E7" s="254"/>
      <c r="F7" s="254"/>
      <c r="G7" s="254"/>
      <c r="H7" s="254"/>
      <c r="I7" s="254"/>
      <c r="J7" s="254"/>
      <c r="K7" s="254"/>
      <c r="L7" s="254"/>
      <c r="M7" s="254"/>
      <c r="N7" s="254"/>
      <c r="O7" s="254"/>
      <c r="P7" s="254"/>
      <c r="Q7" s="254"/>
      <c r="R7" s="254"/>
      <c r="S7" s="254"/>
      <c r="T7" s="254"/>
    </row>
    <row r="8" spans="2:20" ht="39.950000000000003" customHeight="1" x14ac:dyDescent="0.3">
      <c r="B8" s="254"/>
      <c r="C8" s="254"/>
      <c r="D8" s="254"/>
      <c r="E8" s="254"/>
      <c r="F8" s="254"/>
      <c r="G8" s="254"/>
      <c r="H8" s="254"/>
      <c r="I8" s="254"/>
      <c r="J8" s="254"/>
      <c r="K8" s="254"/>
      <c r="L8" s="254"/>
      <c r="M8" s="254"/>
      <c r="N8" s="254"/>
      <c r="O8" s="254"/>
      <c r="P8" s="254"/>
      <c r="Q8" s="254"/>
      <c r="R8" s="254"/>
      <c r="S8" s="254"/>
      <c r="T8" s="254"/>
    </row>
    <row r="9" spans="2:20" ht="20.100000000000001" customHeight="1" x14ac:dyDescent="0.3"/>
    <row r="10" spans="2:20" x14ac:dyDescent="0.3">
      <c r="B10" s="300" t="s">
        <v>116</v>
      </c>
      <c r="C10" s="300"/>
      <c r="D10" s="300"/>
      <c r="E10" s="300"/>
      <c r="F10" s="300"/>
      <c r="G10" s="300"/>
      <c r="H10" s="300"/>
      <c r="I10" s="300"/>
      <c r="J10" s="300"/>
      <c r="K10" s="300"/>
      <c r="L10" s="300"/>
      <c r="M10" s="300"/>
      <c r="N10" s="300"/>
      <c r="O10" s="300"/>
      <c r="P10" s="300"/>
      <c r="Q10" s="300"/>
      <c r="R10" s="300"/>
      <c r="S10" s="300"/>
      <c r="T10" s="300"/>
    </row>
    <row r="11" spans="2:20" ht="20.100000000000001" customHeight="1" x14ac:dyDescent="0.3">
      <c r="B11" s="300"/>
      <c r="C11" s="300"/>
      <c r="D11" s="300"/>
      <c r="E11" s="300"/>
      <c r="F11" s="300"/>
      <c r="G11" s="300"/>
      <c r="H11" s="300"/>
      <c r="I11" s="300"/>
      <c r="J11" s="300"/>
      <c r="K11" s="300"/>
      <c r="L11" s="300"/>
      <c r="M11" s="300"/>
      <c r="N11" s="300"/>
      <c r="O11" s="300"/>
      <c r="P11" s="300"/>
      <c r="Q11" s="300"/>
      <c r="R11" s="300"/>
      <c r="S11" s="300"/>
      <c r="T11" s="300"/>
    </row>
    <row r="12" spans="2:20" ht="20.100000000000001" customHeight="1" x14ac:dyDescent="0.3">
      <c r="B12" s="300"/>
      <c r="C12" s="300"/>
      <c r="D12" s="300"/>
      <c r="E12" s="300"/>
      <c r="F12" s="300"/>
      <c r="G12" s="300"/>
      <c r="H12" s="300"/>
      <c r="I12" s="300"/>
      <c r="J12" s="300"/>
      <c r="K12" s="300"/>
      <c r="L12" s="300"/>
      <c r="M12" s="300"/>
      <c r="N12" s="300"/>
      <c r="O12" s="300"/>
      <c r="P12" s="300"/>
      <c r="Q12" s="300"/>
      <c r="R12" s="300"/>
      <c r="S12" s="300"/>
      <c r="T12" s="300"/>
    </row>
    <row r="14" spans="2:20" ht="26.25" x14ac:dyDescent="0.3">
      <c r="B14" s="298" t="s">
        <v>117</v>
      </c>
      <c r="C14" s="298"/>
      <c r="D14" s="298"/>
      <c r="E14" s="298"/>
      <c r="F14" s="298"/>
      <c r="G14" s="298"/>
      <c r="H14" s="298"/>
      <c r="I14" s="298"/>
      <c r="J14" s="298"/>
      <c r="K14" s="298"/>
      <c r="L14" s="298"/>
      <c r="M14" s="298"/>
      <c r="N14" s="298"/>
      <c r="O14" s="298"/>
      <c r="P14" s="298"/>
      <c r="Q14" s="298"/>
      <c r="R14" s="298"/>
      <c r="S14" s="298"/>
      <c r="T14" s="298"/>
    </row>
    <row r="15" spans="2:20" ht="32.25" customHeight="1" x14ac:dyDescent="0.3">
      <c r="B15" s="299"/>
      <c r="C15" s="299"/>
      <c r="D15" s="299"/>
      <c r="E15" s="299"/>
      <c r="F15" s="299"/>
      <c r="G15" s="299"/>
      <c r="H15" s="299"/>
      <c r="I15" s="299"/>
      <c r="J15" s="299"/>
      <c r="K15" s="299"/>
      <c r="L15" s="299"/>
      <c r="M15" s="299"/>
      <c r="N15" s="299"/>
      <c r="O15" s="299"/>
      <c r="P15" s="299"/>
      <c r="Q15" s="299"/>
      <c r="R15" s="299"/>
      <c r="S15" s="299"/>
      <c r="T15" s="299"/>
    </row>
    <row r="16" spans="2:20" x14ac:dyDescent="0.3">
      <c r="B16" s="299"/>
      <c r="C16" s="299"/>
      <c r="D16" s="299"/>
      <c r="E16" s="299"/>
      <c r="F16" s="299"/>
      <c r="G16" s="299"/>
      <c r="H16" s="299"/>
      <c r="I16" s="299"/>
      <c r="J16" s="299"/>
      <c r="K16" s="299"/>
      <c r="L16" s="299"/>
      <c r="M16" s="299"/>
      <c r="N16" s="299"/>
      <c r="O16" s="299"/>
      <c r="P16" s="299"/>
      <c r="Q16" s="299"/>
      <c r="R16" s="299"/>
      <c r="S16" s="299"/>
      <c r="T16" s="299"/>
    </row>
    <row r="17" spans="2:20" x14ac:dyDescent="0.3">
      <c r="B17" s="299"/>
      <c r="C17" s="299"/>
      <c r="D17" s="299"/>
      <c r="E17" s="299"/>
      <c r="F17" s="299"/>
      <c r="G17" s="299"/>
      <c r="H17" s="299"/>
      <c r="I17" s="299"/>
      <c r="J17" s="299"/>
      <c r="K17" s="299"/>
      <c r="L17" s="299"/>
      <c r="M17" s="299"/>
      <c r="N17" s="299"/>
      <c r="O17" s="299"/>
      <c r="P17" s="299"/>
      <c r="Q17" s="299"/>
      <c r="R17" s="299"/>
      <c r="S17" s="299"/>
      <c r="T17" s="299"/>
    </row>
    <row r="18" spans="2:20" x14ac:dyDescent="0.3">
      <c r="B18" s="299"/>
      <c r="C18" s="299"/>
      <c r="D18" s="299"/>
      <c r="E18" s="299"/>
      <c r="F18" s="299"/>
      <c r="G18" s="299"/>
      <c r="H18" s="299"/>
      <c r="I18" s="299"/>
      <c r="J18" s="299"/>
      <c r="K18" s="299"/>
      <c r="L18" s="299"/>
      <c r="M18" s="299"/>
      <c r="N18" s="299"/>
      <c r="O18" s="299"/>
      <c r="P18" s="299"/>
      <c r="Q18" s="299"/>
      <c r="R18" s="299"/>
      <c r="S18" s="299"/>
      <c r="T18" s="299"/>
    </row>
    <row r="19" spans="2:20" x14ac:dyDescent="0.3">
      <c r="B19" s="299"/>
      <c r="C19" s="299"/>
      <c r="D19" s="299"/>
      <c r="E19" s="299"/>
      <c r="F19" s="299"/>
      <c r="G19" s="299"/>
      <c r="H19" s="299"/>
      <c r="I19" s="299"/>
      <c r="J19" s="299"/>
      <c r="K19" s="299"/>
      <c r="L19" s="299"/>
      <c r="M19" s="299"/>
      <c r="N19" s="299"/>
      <c r="O19" s="299"/>
      <c r="P19" s="299"/>
      <c r="Q19" s="299"/>
      <c r="R19" s="299"/>
      <c r="S19" s="299"/>
      <c r="T19" s="299"/>
    </row>
    <row r="20" spans="2:20" x14ac:dyDescent="0.3">
      <c r="B20" s="299"/>
      <c r="C20" s="299"/>
      <c r="D20" s="299"/>
      <c r="E20" s="299"/>
      <c r="F20" s="299"/>
      <c r="G20" s="299"/>
      <c r="H20" s="299"/>
      <c r="I20" s="299"/>
      <c r="J20" s="299"/>
      <c r="K20" s="299"/>
      <c r="L20" s="299"/>
      <c r="M20" s="299"/>
      <c r="N20" s="299"/>
      <c r="O20" s="299"/>
      <c r="P20" s="299"/>
      <c r="Q20" s="299"/>
      <c r="R20" s="299"/>
      <c r="S20" s="299"/>
      <c r="T20" s="299"/>
    </row>
    <row r="21" spans="2:20" x14ac:dyDescent="0.3">
      <c r="B21" s="299"/>
      <c r="C21" s="299"/>
      <c r="D21" s="299"/>
      <c r="E21" s="299"/>
      <c r="F21" s="299"/>
      <c r="G21" s="299"/>
      <c r="H21" s="299"/>
      <c r="I21" s="299"/>
      <c r="J21" s="299"/>
      <c r="K21" s="299"/>
      <c r="L21" s="299"/>
      <c r="M21" s="299"/>
      <c r="N21" s="299"/>
      <c r="O21" s="299"/>
      <c r="P21" s="299"/>
      <c r="Q21" s="299"/>
      <c r="R21" s="299"/>
      <c r="S21" s="299"/>
      <c r="T21" s="299"/>
    </row>
    <row r="22" spans="2:20" x14ac:dyDescent="0.3">
      <c r="B22" s="299"/>
      <c r="C22" s="299"/>
      <c r="D22" s="299"/>
      <c r="E22" s="299"/>
      <c r="F22" s="299"/>
      <c r="G22" s="299"/>
      <c r="H22" s="299"/>
      <c r="I22" s="299"/>
      <c r="J22" s="299"/>
      <c r="K22" s="299"/>
      <c r="L22" s="299"/>
      <c r="M22" s="299"/>
      <c r="N22" s="299"/>
      <c r="O22" s="299"/>
      <c r="P22" s="299"/>
      <c r="Q22" s="299"/>
      <c r="R22" s="299"/>
      <c r="S22" s="299"/>
      <c r="T22" s="299"/>
    </row>
    <row r="23" spans="2:20" x14ac:dyDescent="0.3">
      <c r="B23" s="299"/>
      <c r="C23" s="299"/>
      <c r="D23" s="299"/>
      <c r="E23" s="299"/>
      <c r="F23" s="299"/>
      <c r="G23" s="299"/>
      <c r="H23" s="299"/>
      <c r="I23" s="299"/>
      <c r="J23" s="299"/>
      <c r="K23" s="299"/>
      <c r="L23" s="299"/>
      <c r="M23" s="299"/>
      <c r="N23" s="299"/>
      <c r="O23" s="299"/>
      <c r="P23" s="299"/>
      <c r="Q23" s="299"/>
      <c r="R23" s="299"/>
      <c r="S23" s="299"/>
      <c r="T23" s="299"/>
    </row>
    <row r="24" spans="2:20" x14ac:dyDescent="0.3">
      <c r="B24" s="299"/>
      <c r="C24" s="299"/>
      <c r="D24" s="299"/>
      <c r="E24" s="299"/>
      <c r="F24" s="299"/>
      <c r="G24" s="299"/>
      <c r="H24" s="299"/>
      <c r="I24" s="299"/>
      <c r="J24" s="299"/>
      <c r="K24" s="299"/>
      <c r="L24" s="299"/>
      <c r="M24" s="299"/>
      <c r="N24" s="299"/>
      <c r="O24" s="299"/>
      <c r="P24" s="299"/>
      <c r="Q24" s="299"/>
      <c r="R24" s="299"/>
      <c r="S24" s="299"/>
      <c r="T24" s="299"/>
    </row>
    <row r="25" spans="2:20" x14ac:dyDescent="0.3">
      <c r="B25" s="299"/>
      <c r="C25" s="299"/>
      <c r="D25" s="299"/>
      <c r="E25" s="299"/>
      <c r="F25" s="299"/>
      <c r="G25" s="299"/>
      <c r="H25" s="299"/>
      <c r="I25" s="299"/>
      <c r="J25" s="299"/>
      <c r="K25" s="299"/>
      <c r="L25" s="299"/>
      <c r="M25" s="299"/>
      <c r="N25" s="299"/>
      <c r="O25" s="299"/>
      <c r="P25" s="299"/>
      <c r="Q25" s="299"/>
      <c r="R25" s="299"/>
      <c r="S25" s="299"/>
      <c r="T25" s="299"/>
    </row>
    <row r="26" spans="2:20" x14ac:dyDescent="0.3">
      <c r="B26" s="299"/>
      <c r="C26" s="299"/>
      <c r="D26" s="299"/>
      <c r="E26" s="299"/>
      <c r="F26" s="299"/>
      <c r="G26" s="299"/>
      <c r="H26" s="299"/>
      <c r="I26" s="299"/>
      <c r="J26" s="299"/>
      <c r="K26" s="299"/>
      <c r="L26" s="299"/>
      <c r="M26" s="299"/>
      <c r="N26" s="299"/>
      <c r="O26" s="299"/>
      <c r="P26" s="299"/>
      <c r="Q26" s="299"/>
      <c r="R26" s="299"/>
      <c r="S26" s="299"/>
      <c r="T26" s="299"/>
    </row>
    <row r="27" spans="2:20" x14ac:dyDescent="0.3">
      <c r="B27" s="299"/>
      <c r="C27" s="299"/>
      <c r="D27" s="299"/>
      <c r="E27" s="299"/>
      <c r="F27" s="299"/>
      <c r="G27" s="299"/>
      <c r="H27" s="299"/>
      <c r="I27" s="299"/>
      <c r="J27" s="299"/>
      <c r="K27" s="299"/>
      <c r="L27" s="299"/>
      <c r="M27" s="299"/>
      <c r="N27" s="299"/>
      <c r="O27" s="299"/>
      <c r="P27" s="299"/>
      <c r="Q27" s="299"/>
      <c r="R27" s="299"/>
      <c r="S27" s="299"/>
      <c r="T27" s="299"/>
    </row>
    <row r="28" spans="2:20" x14ac:dyDescent="0.3">
      <c r="B28" s="299"/>
      <c r="C28" s="299"/>
      <c r="D28" s="299"/>
      <c r="E28" s="299"/>
      <c r="F28" s="299"/>
      <c r="G28" s="299"/>
      <c r="H28" s="299"/>
      <c r="I28" s="299"/>
      <c r="J28" s="299"/>
      <c r="K28" s="299"/>
      <c r="L28" s="299"/>
      <c r="M28" s="299"/>
      <c r="N28" s="299"/>
      <c r="O28" s="299"/>
      <c r="P28" s="299"/>
      <c r="Q28" s="299"/>
      <c r="R28" s="299"/>
      <c r="S28" s="299"/>
      <c r="T28" s="299"/>
    </row>
    <row r="29" spans="2:20" x14ac:dyDescent="0.3">
      <c r="B29" s="299"/>
      <c r="C29" s="299"/>
      <c r="D29" s="299"/>
      <c r="E29" s="299"/>
      <c r="F29" s="299"/>
      <c r="G29" s="299"/>
      <c r="H29" s="299"/>
      <c r="I29" s="299"/>
      <c r="J29" s="299"/>
      <c r="K29" s="299"/>
      <c r="L29" s="299"/>
      <c r="M29" s="299"/>
      <c r="N29" s="299"/>
      <c r="O29" s="299"/>
      <c r="P29" s="299"/>
      <c r="Q29" s="299"/>
      <c r="R29" s="299"/>
      <c r="S29" s="299"/>
      <c r="T29" s="299"/>
    </row>
    <row r="30" spans="2:20" x14ac:dyDescent="0.3">
      <c r="B30" s="299"/>
      <c r="C30" s="299"/>
      <c r="D30" s="299"/>
      <c r="E30" s="299"/>
      <c r="F30" s="299"/>
      <c r="G30" s="299"/>
      <c r="H30" s="299"/>
      <c r="I30" s="299"/>
      <c r="J30" s="299"/>
      <c r="K30" s="299"/>
      <c r="L30" s="299"/>
      <c r="M30" s="299"/>
      <c r="N30" s="299"/>
      <c r="O30" s="299"/>
      <c r="P30" s="299"/>
      <c r="Q30" s="299"/>
      <c r="R30" s="299"/>
      <c r="S30" s="299"/>
      <c r="T30" s="299"/>
    </row>
    <row r="31" spans="2:20" x14ac:dyDescent="0.3">
      <c r="B31" s="299"/>
      <c r="C31" s="299"/>
      <c r="D31" s="299"/>
      <c r="E31" s="299"/>
      <c r="F31" s="299"/>
      <c r="G31" s="299"/>
      <c r="H31" s="299"/>
      <c r="I31" s="299"/>
      <c r="J31" s="299"/>
      <c r="K31" s="299"/>
      <c r="L31" s="299"/>
      <c r="M31" s="299"/>
      <c r="N31" s="299"/>
      <c r="O31" s="299"/>
      <c r="P31" s="299"/>
      <c r="Q31" s="299"/>
      <c r="R31" s="299"/>
      <c r="S31" s="299"/>
      <c r="T31" s="299"/>
    </row>
    <row r="32" spans="2:20" x14ac:dyDescent="0.3">
      <c r="B32" s="299"/>
      <c r="C32" s="299"/>
      <c r="D32" s="299"/>
      <c r="E32" s="299"/>
      <c r="F32" s="299"/>
      <c r="G32" s="299"/>
      <c r="H32" s="299"/>
      <c r="I32" s="299"/>
      <c r="J32" s="299"/>
      <c r="K32" s="299"/>
      <c r="L32" s="299"/>
      <c r="M32" s="299"/>
      <c r="N32" s="299"/>
      <c r="O32" s="299"/>
      <c r="P32" s="299"/>
      <c r="Q32" s="299"/>
      <c r="R32" s="299"/>
      <c r="S32" s="299"/>
      <c r="T32" s="299"/>
    </row>
    <row r="33" spans="2:20" x14ac:dyDescent="0.3">
      <c r="B33" s="299"/>
      <c r="C33" s="299"/>
      <c r="D33" s="299"/>
      <c r="E33" s="299"/>
      <c r="F33" s="299"/>
      <c r="G33" s="299"/>
      <c r="H33" s="299"/>
      <c r="I33" s="299"/>
      <c r="J33" s="299"/>
      <c r="K33" s="299"/>
      <c r="L33" s="299"/>
      <c r="M33" s="299"/>
      <c r="N33" s="299"/>
      <c r="O33" s="299"/>
      <c r="P33" s="299"/>
      <c r="Q33" s="299"/>
      <c r="R33" s="299"/>
      <c r="S33" s="299"/>
      <c r="T33" s="299"/>
    </row>
    <row r="34" spans="2:20" x14ac:dyDescent="0.3">
      <c r="B34" s="299"/>
      <c r="C34" s="299"/>
      <c r="D34" s="299"/>
      <c r="E34" s="299"/>
      <c r="F34" s="299"/>
      <c r="G34" s="299"/>
      <c r="H34" s="299"/>
      <c r="I34" s="299"/>
      <c r="J34" s="299"/>
      <c r="K34" s="299"/>
      <c r="L34" s="299"/>
      <c r="M34" s="299"/>
      <c r="N34" s="299"/>
      <c r="O34" s="299"/>
      <c r="P34" s="299"/>
      <c r="Q34" s="299"/>
      <c r="R34" s="299"/>
      <c r="S34" s="299"/>
      <c r="T34" s="299"/>
    </row>
    <row r="35" spans="2:20" x14ac:dyDescent="0.3">
      <c r="B35" s="299"/>
      <c r="C35" s="299"/>
      <c r="D35" s="299"/>
      <c r="E35" s="299"/>
      <c r="F35" s="299"/>
      <c r="G35" s="299"/>
      <c r="H35" s="299"/>
      <c r="I35" s="299"/>
      <c r="J35" s="299"/>
      <c r="K35" s="299"/>
      <c r="L35" s="299"/>
      <c r="M35" s="299"/>
      <c r="N35" s="299"/>
      <c r="O35" s="299"/>
      <c r="P35" s="299"/>
      <c r="Q35" s="299"/>
      <c r="R35" s="299"/>
      <c r="S35" s="299"/>
      <c r="T35" s="299"/>
    </row>
    <row r="36" spans="2:20" x14ac:dyDescent="0.3">
      <c r="B36" s="299"/>
      <c r="C36" s="299"/>
      <c r="D36" s="299"/>
      <c r="E36" s="299"/>
      <c r="F36" s="299"/>
      <c r="G36" s="299"/>
      <c r="H36" s="299"/>
      <c r="I36" s="299"/>
      <c r="J36" s="299"/>
      <c r="K36" s="299"/>
      <c r="L36" s="299"/>
      <c r="M36" s="299"/>
      <c r="N36" s="299"/>
      <c r="O36" s="299"/>
      <c r="P36" s="299"/>
      <c r="Q36" s="299"/>
      <c r="R36" s="299"/>
      <c r="S36" s="299"/>
      <c r="T36" s="299"/>
    </row>
    <row r="37" spans="2:20" x14ac:dyDescent="0.3">
      <c r="B37" s="299"/>
      <c r="C37" s="299"/>
      <c r="D37" s="299"/>
      <c r="E37" s="299"/>
      <c r="F37" s="299"/>
      <c r="G37" s="299"/>
      <c r="H37" s="299"/>
      <c r="I37" s="299"/>
      <c r="J37" s="299"/>
      <c r="K37" s="299"/>
      <c r="L37" s="299"/>
      <c r="M37" s="299"/>
      <c r="N37" s="299"/>
      <c r="O37" s="299"/>
      <c r="P37" s="299"/>
      <c r="Q37" s="299"/>
      <c r="R37" s="299"/>
      <c r="S37" s="299"/>
      <c r="T37" s="299"/>
    </row>
    <row r="38" spans="2:20" x14ac:dyDescent="0.3">
      <c r="B38" s="299"/>
      <c r="C38" s="299"/>
      <c r="D38" s="299"/>
      <c r="E38" s="299"/>
      <c r="F38" s="299"/>
      <c r="G38" s="299"/>
      <c r="H38" s="299"/>
      <c r="I38" s="299"/>
      <c r="J38" s="299"/>
      <c r="K38" s="299"/>
      <c r="L38" s="299"/>
      <c r="M38" s="299"/>
      <c r="N38" s="299"/>
      <c r="O38" s="299"/>
      <c r="P38" s="299"/>
      <c r="Q38" s="299"/>
      <c r="R38" s="299"/>
      <c r="S38" s="299"/>
      <c r="T38" s="299"/>
    </row>
    <row r="39" spans="2:20" x14ac:dyDescent="0.3">
      <c r="B39" s="299"/>
      <c r="C39" s="299"/>
      <c r="D39" s="299"/>
      <c r="E39" s="299"/>
      <c r="F39" s="299"/>
      <c r="G39" s="299"/>
      <c r="H39" s="299"/>
      <c r="I39" s="299"/>
      <c r="J39" s="299"/>
      <c r="K39" s="299"/>
      <c r="L39" s="299"/>
      <c r="M39" s="299"/>
      <c r="N39" s="299"/>
      <c r="O39" s="299"/>
      <c r="P39" s="299"/>
      <c r="Q39" s="299"/>
      <c r="R39" s="299"/>
      <c r="S39" s="299"/>
      <c r="T39" s="299"/>
    </row>
    <row r="40" spans="2:20" x14ac:dyDescent="0.3">
      <c r="B40" s="299"/>
      <c r="C40" s="299"/>
      <c r="D40" s="299"/>
      <c r="E40" s="299"/>
      <c r="F40" s="299"/>
      <c r="G40" s="299"/>
      <c r="H40" s="299"/>
      <c r="I40" s="299"/>
      <c r="J40" s="299"/>
      <c r="K40" s="299"/>
      <c r="L40" s="299"/>
      <c r="M40" s="299"/>
      <c r="N40" s="299"/>
      <c r="O40" s="299"/>
      <c r="P40" s="299"/>
      <c r="Q40" s="299"/>
      <c r="R40" s="299"/>
      <c r="S40" s="299"/>
      <c r="T40" s="299"/>
    </row>
    <row r="41" spans="2:20" x14ac:dyDescent="0.3">
      <c r="B41" s="299"/>
      <c r="C41" s="299"/>
      <c r="D41" s="299"/>
      <c r="E41" s="299"/>
      <c r="F41" s="299"/>
      <c r="G41" s="299"/>
      <c r="H41" s="299"/>
      <c r="I41" s="299"/>
      <c r="J41" s="299"/>
      <c r="K41" s="299"/>
      <c r="L41" s="299"/>
      <c r="M41" s="299"/>
      <c r="N41" s="299"/>
      <c r="O41" s="299"/>
      <c r="P41" s="299"/>
      <c r="Q41" s="299"/>
      <c r="R41" s="299"/>
      <c r="S41" s="299"/>
      <c r="T41" s="299"/>
    </row>
    <row r="42" spans="2:20" x14ac:dyDescent="0.3">
      <c r="B42" s="299"/>
      <c r="C42" s="299"/>
      <c r="D42" s="299"/>
      <c r="E42" s="299"/>
      <c r="F42" s="299"/>
      <c r="G42" s="299"/>
      <c r="H42" s="299"/>
      <c r="I42" s="299"/>
      <c r="J42" s="299"/>
      <c r="K42" s="299"/>
      <c r="L42" s="299"/>
      <c r="M42" s="299"/>
      <c r="N42" s="299"/>
      <c r="O42" s="299"/>
      <c r="P42" s="299"/>
      <c r="Q42" s="299"/>
      <c r="R42" s="299"/>
      <c r="S42" s="299"/>
      <c r="T42" s="299"/>
    </row>
    <row r="43" spans="2:20" x14ac:dyDescent="0.3">
      <c r="B43" s="299"/>
      <c r="C43" s="299"/>
      <c r="D43" s="299"/>
      <c r="E43" s="299"/>
      <c r="F43" s="299"/>
      <c r="G43" s="299"/>
      <c r="H43" s="299"/>
      <c r="I43" s="299"/>
      <c r="J43" s="299"/>
      <c r="K43" s="299"/>
      <c r="L43" s="299"/>
      <c r="M43" s="299"/>
      <c r="N43" s="299"/>
      <c r="O43" s="299"/>
      <c r="P43" s="299"/>
      <c r="Q43" s="299"/>
      <c r="R43" s="299"/>
      <c r="S43" s="299"/>
      <c r="T43" s="299"/>
    </row>
    <row r="44" spans="2:20" x14ac:dyDescent="0.3">
      <c r="B44" s="299"/>
      <c r="C44" s="299"/>
      <c r="D44" s="299"/>
      <c r="E44" s="299"/>
      <c r="F44" s="299"/>
      <c r="G44" s="299"/>
      <c r="H44" s="299"/>
      <c r="I44" s="299"/>
      <c r="J44" s="299"/>
      <c r="K44" s="299"/>
      <c r="L44" s="299"/>
      <c r="M44" s="299"/>
      <c r="N44" s="299"/>
      <c r="O44" s="299"/>
      <c r="P44" s="299"/>
      <c r="Q44" s="299"/>
      <c r="R44" s="299"/>
      <c r="S44" s="299"/>
      <c r="T44" s="299"/>
    </row>
    <row r="45" spans="2:20" x14ac:dyDescent="0.3">
      <c r="B45" s="299"/>
      <c r="C45" s="299"/>
      <c r="D45" s="299"/>
      <c r="E45" s="299"/>
      <c r="F45" s="299"/>
      <c r="G45" s="299"/>
      <c r="H45" s="299"/>
      <c r="I45" s="299"/>
      <c r="J45" s="299"/>
      <c r="K45" s="299"/>
      <c r="L45" s="299"/>
      <c r="M45" s="299"/>
      <c r="N45" s="299"/>
      <c r="O45" s="299"/>
      <c r="P45" s="299"/>
      <c r="Q45" s="299"/>
      <c r="R45" s="299"/>
      <c r="S45" s="299"/>
      <c r="T45" s="299"/>
    </row>
    <row r="46" spans="2:20" x14ac:dyDescent="0.3">
      <c r="B46" s="299"/>
      <c r="C46" s="299"/>
      <c r="D46" s="299"/>
      <c r="E46" s="299"/>
      <c r="F46" s="299"/>
      <c r="G46" s="299"/>
      <c r="H46" s="299"/>
      <c r="I46" s="299"/>
      <c r="J46" s="299"/>
      <c r="K46" s="299"/>
      <c r="L46" s="299"/>
      <c r="M46" s="299"/>
      <c r="N46" s="299"/>
      <c r="O46" s="299"/>
      <c r="P46" s="299"/>
      <c r="Q46" s="299"/>
      <c r="R46" s="299"/>
      <c r="S46" s="299"/>
      <c r="T46" s="299"/>
    </row>
    <row r="47" spans="2:20" x14ac:dyDescent="0.3">
      <c r="B47" s="299"/>
      <c r="C47" s="299"/>
      <c r="D47" s="299"/>
      <c r="E47" s="299"/>
      <c r="F47" s="299"/>
      <c r="G47" s="299"/>
      <c r="H47" s="299"/>
      <c r="I47" s="299"/>
      <c r="J47" s="299"/>
      <c r="K47" s="299"/>
      <c r="L47" s="299"/>
      <c r="M47" s="299"/>
      <c r="N47" s="299"/>
      <c r="O47" s="299"/>
      <c r="P47" s="299"/>
      <c r="Q47" s="299"/>
      <c r="R47" s="299"/>
      <c r="S47" s="299"/>
      <c r="T47" s="299"/>
    </row>
    <row r="48" spans="2:20" x14ac:dyDescent="0.3">
      <c r="B48" s="299"/>
      <c r="C48" s="299"/>
      <c r="D48" s="299"/>
      <c r="E48" s="299"/>
      <c r="F48" s="299"/>
      <c r="G48" s="299"/>
      <c r="H48" s="299"/>
      <c r="I48" s="299"/>
      <c r="J48" s="299"/>
      <c r="K48" s="299"/>
      <c r="L48" s="299"/>
      <c r="M48" s="299"/>
      <c r="N48" s="299"/>
      <c r="O48" s="299"/>
      <c r="P48" s="299"/>
      <c r="Q48" s="299"/>
      <c r="R48" s="299"/>
      <c r="S48" s="299"/>
      <c r="T48" s="299"/>
    </row>
    <row r="49" spans="2:20" x14ac:dyDescent="0.3">
      <c r="B49" s="299"/>
      <c r="C49" s="299"/>
      <c r="D49" s="299"/>
      <c r="E49" s="299"/>
      <c r="F49" s="299"/>
      <c r="G49" s="299"/>
      <c r="H49" s="299"/>
      <c r="I49" s="299"/>
      <c r="J49" s="299"/>
      <c r="K49" s="299"/>
      <c r="L49" s="299"/>
      <c r="M49" s="299"/>
      <c r="N49" s="299"/>
      <c r="O49" s="299"/>
      <c r="P49" s="299"/>
      <c r="Q49" s="299"/>
      <c r="R49" s="299"/>
      <c r="S49" s="299"/>
      <c r="T49" s="299"/>
    </row>
    <row r="50" spans="2:20" x14ac:dyDescent="0.3">
      <c r="B50" s="299"/>
      <c r="C50" s="299"/>
      <c r="D50" s="299"/>
      <c r="E50" s="299"/>
      <c r="F50" s="299"/>
      <c r="G50" s="299"/>
      <c r="H50" s="299"/>
      <c r="I50" s="299"/>
      <c r="J50" s="299"/>
      <c r="K50" s="299"/>
      <c r="L50" s="299"/>
      <c r="M50" s="299"/>
      <c r="N50" s="299"/>
      <c r="O50" s="299"/>
      <c r="P50" s="299"/>
      <c r="Q50" s="299"/>
      <c r="R50" s="299"/>
      <c r="S50" s="299"/>
      <c r="T50" s="299"/>
    </row>
    <row r="51" spans="2:20" x14ac:dyDescent="0.3">
      <c r="B51" s="299"/>
      <c r="C51" s="299"/>
      <c r="D51" s="299"/>
      <c r="E51" s="299"/>
      <c r="F51" s="299"/>
      <c r="G51" s="299"/>
      <c r="H51" s="299"/>
      <c r="I51" s="299"/>
      <c r="J51" s="299"/>
      <c r="K51" s="299"/>
      <c r="L51" s="299"/>
      <c r="M51" s="299"/>
      <c r="N51" s="299"/>
      <c r="O51" s="299"/>
      <c r="P51" s="299"/>
      <c r="Q51" s="299"/>
      <c r="R51" s="299"/>
      <c r="S51" s="299"/>
      <c r="T51" s="299"/>
    </row>
    <row r="52" spans="2:20" x14ac:dyDescent="0.3">
      <c r="B52" s="299"/>
      <c r="C52" s="299"/>
      <c r="D52" s="299"/>
      <c r="E52" s="299"/>
      <c r="F52" s="299"/>
      <c r="G52" s="299"/>
      <c r="H52" s="299"/>
      <c r="I52" s="299"/>
      <c r="J52" s="299"/>
      <c r="K52" s="299"/>
      <c r="L52" s="299"/>
      <c r="M52" s="299"/>
      <c r="N52" s="299"/>
      <c r="O52" s="299"/>
      <c r="P52" s="299"/>
      <c r="Q52" s="299"/>
      <c r="R52" s="299"/>
      <c r="S52" s="299"/>
      <c r="T52" s="299"/>
    </row>
    <row r="53" spans="2:20" x14ac:dyDescent="0.3">
      <c r="B53" s="299"/>
      <c r="C53" s="299"/>
      <c r="D53" s="299"/>
      <c r="E53" s="299"/>
      <c r="F53" s="299"/>
      <c r="G53" s="299"/>
      <c r="H53" s="299"/>
      <c r="I53" s="299"/>
      <c r="J53" s="299"/>
      <c r="K53" s="299"/>
      <c r="L53" s="299"/>
      <c r="M53" s="299"/>
      <c r="N53" s="299"/>
      <c r="O53" s="299"/>
      <c r="P53" s="299"/>
      <c r="Q53" s="299"/>
      <c r="R53" s="299"/>
      <c r="S53" s="299"/>
      <c r="T53" s="299"/>
    </row>
    <row r="54" spans="2:20" x14ac:dyDescent="0.3">
      <c r="B54" s="299"/>
      <c r="C54" s="299"/>
      <c r="D54" s="299"/>
      <c r="E54" s="299"/>
      <c r="F54" s="299"/>
      <c r="G54" s="299"/>
      <c r="H54" s="299"/>
      <c r="I54" s="299"/>
      <c r="J54" s="299"/>
      <c r="K54" s="299"/>
      <c r="L54" s="299"/>
      <c r="M54" s="299"/>
      <c r="N54" s="299"/>
      <c r="O54" s="299"/>
      <c r="P54" s="299"/>
      <c r="Q54" s="299"/>
      <c r="R54" s="299"/>
      <c r="S54" s="299"/>
      <c r="T54" s="299"/>
    </row>
    <row r="55" spans="2:20" x14ac:dyDescent="0.3">
      <c r="B55" s="299"/>
      <c r="C55" s="299"/>
      <c r="D55" s="299"/>
      <c r="E55" s="299"/>
      <c r="F55" s="299"/>
      <c r="G55" s="299"/>
      <c r="H55" s="299"/>
      <c r="I55" s="299"/>
      <c r="J55" s="299"/>
      <c r="K55" s="299"/>
      <c r="L55" s="299"/>
      <c r="M55" s="299"/>
      <c r="N55" s="299"/>
      <c r="O55" s="299"/>
      <c r="P55" s="299"/>
      <c r="Q55" s="299"/>
      <c r="R55" s="299"/>
      <c r="S55" s="299"/>
      <c r="T55" s="299"/>
    </row>
    <row r="57" spans="2:20" ht="26.25" x14ac:dyDescent="0.3">
      <c r="B57" s="298" t="s">
        <v>118</v>
      </c>
      <c r="C57" s="298"/>
      <c r="D57" s="298"/>
      <c r="E57" s="298"/>
      <c r="F57" s="298"/>
      <c r="G57" s="298"/>
      <c r="H57" s="298"/>
      <c r="I57" s="298"/>
      <c r="J57" s="298"/>
      <c r="K57" s="298"/>
      <c r="L57" s="298"/>
      <c r="M57" s="298"/>
      <c r="N57" s="298"/>
      <c r="O57" s="298"/>
      <c r="P57" s="298"/>
      <c r="Q57" s="298"/>
      <c r="R57" s="298"/>
      <c r="S57" s="298"/>
      <c r="T57" s="298"/>
    </row>
    <row r="58" spans="2:20" x14ac:dyDescent="0.3">
      <c r="B58" s="299"/>
      <c r="C58" s="299"/>
      <c r="D58" s="299"/>
      <c r="E58" s="299"/>
      <c r="F58" s="299"/>
      <c r="G58" s="299"/>
      <c r="H58" s="299"/>
      <c r="I58" s="299"/>
      <c r="J58" s="299"/>
      <c r="K58" s="299"/>
      <c r="L58" s="299"/>
      <c r="M58" s="299"/>
      <c r="N58" s="299"/>
      <c r="O58" s="299"/>
      <c r="P58" s="299"/>
      <c r="Q58" s="299"/>
      <c r="R58" s="299"/>
      <c r="S58" s="299"/>
      <c r="T58" s="299"/>
    </row>
    <row r="59" spans="2:20" x14ac:dyDescent="0.3">
      <c r="B59" s="299"/>
      <c r="C59" s="299"/>
      <c r="D59" s="299"/>
      <c r="E59" s="299"/>
      <c r="F59" s="299"/>
      <c r="G59" s="299"/>
      <c r="H59" s="299"/>
      <c r="I59" s="299"/>
      <c r="J59" s="299"/>
      <c r="K59" s="299"/>
      <c r="L59" s="299"/>
      <c r="M59" s="299"/>
      <c r="N59" s="299"/>
      <c r="O59" s="299"/>
      <c r="P59" s="299"/>
      <c r="Q59" s="299"/>
      <c r="R59" s="299"/>
      <c r="S59" s="299"/>
      <c r="T59" s="299"/>
    </row>
    <row r="60" spans="2:20" x14ac:dyDescent="0.3">
      <c r="B60" s="299"/>
      <c r="C60" s="299"/>
      <c r="D60" s="299"/>
      <c r="E60" s="299"/>
      <c r="F60" s="299"/>
      <c r="G60" s="299"/>
      <c r="H60" s="299"/>
      <c r="I60" s="299"/>
      <c r="J60" s="299"/>
      <c r="K60" s="299"/>
      <c r="L60" s="299"/>
      <c r="M60" s="299"/>
      <c r="N60" s="299"/>
      <c r="O60" s="299"/>
      <c r="P60" s="299"/>
      <c r="Q60" s="299"/>
      <c r="R60" s="299"/>
      <c r="S60" s="299"/>
      <c r="T60" s="299"/>
    </row>
    <row r="61" spans="2:20" x14ac:dyDescent="0.3">
      <c r="B61" s="299"/>
      <c r="C61" s="299"/>
      <c r="D61" s="299"/>
      <c r="E61" s="299"/>
      <c r="F61" s="299"/>
      <c r="G61" s="299"/>
      <c r="H61" s="299"/>
      <c r="I61" s="299"/>
      <c r="J61" s="299"/>
      <c r="K61" s="299"/>
      <c r="L61" s="299"/>
      <c r="M61" s="299"/>
      <c r="N61" s="299"/>
      <c r="O61" s="299"/>
      <c r="P61" s="299"/>
      <c r="Q61" s="299"/>
      <c r="R61" s="299"/>
      <c r="S61" s="299"/>
      <c r="T61" s="299"/>
    </row>
    <row r="62" spans="2:20" x14ac:dyDescent="0.3">
      <c r="B62" s="299"/>
      <c r="C62" s="299"/>
      <c r="D62" s="299"/>
      <c r="E62" s="299"/>
      <c r="F62" s="299"/>
      <c r="G62" s="299"/>
      <c r="H62" s="299"/>
      <c r="I62" s="299"/>
      <c r="J62" s="299"/>
      <c r="K62" s="299"/>
      <c r="L62" s="299"/>
      <c r="M62" s="299"/>
      <c r="N62" s="299"/>
      <c r="O62" s="299"/>
      <c r="P62" s="299"/>
      <c r="Q62" s="299"/>
      <c r="R62" s="299"/>
      <c r="S62" s="299"/>
      <c r="T62" s="299"/>
    </row>
    <row r="63" spans="2:20" x14ac:dyDescent="0.3">
      <c r="B63" s="299"/>
      <c r="C63" s="299"/>
      <c r="D63" s="299"/>
      <c r="E63" s="299"/>
      <c r="F63" s="299"/>
      <c r="G63" s="299"/>
      <c r="H63" s="299"/>
      <c r="I63" s="299"/>
      <c r="J63" s="299"/>
      <c r="K63" s="299"/>
      <c r="L63" s="299"/>
      <c r="M63" s="299"/>
      <c r="N63" s="299"/>
      <c r="O63" s="299"/>
      <c r="P63" s="299"/>
      <c r="Q63" s="299"/>
      <c r="R63" s="299"/>
      <c r="S63" s="299"/>
      <c r="T63" s="299"/>
    </row>
    <row r="64" spans="2:20" x14ac:dyDescent="0.3">
      <c r="B64" s="299"/>
      <c r="C64" s="299"/>
      <c r="D64" s="299"/>
      <c r="E64" s="299"/>
      <c r="F64" s="299"/>
      <c r="G64" s="299"/>
      <c r="H64" s="299"/>
      <c r="I64" s="299"/>
      <c r="J64" s="299"/>
      <c r="K64" s="299"/>
      <c r="L64" s="299"/>
      <c r="M64" s="299"/>
      <c r="N64" s="299"/>
      <c r="O64" s="299"/>
      <c r="P64" s="299"/>
      <c r="Q64" s="299"/>
      <c r="R64" s="299"/>
      <c r="S64" s="299"/>
      <c r="T64" s="299"/>
    </row>
    <row r="65" spans="2:20" x14ac:dyDescent="0.3">
      <c r="B65" s="299"/>
      <c r="C65" s="299"/>
      <c r="D65" s="299"/>
      <c r="E65" s="299"/>
      <c r="F65" s="299"/>
      <c r="G65" s="299"/>
      <c r="H65" s="299"/>
      <c r="I65" s="299"/>
      <c r="J65" s="299"/>
      <c r="K65" s="299"/>
      <c r="L65" s="299"/>
      <c r="M65" s="299"/>
      <c r="N65" s="299"/>
      <c r="O65" s="299"/>
      <c r="P65" s="299"/>
      <c r="Q65" s="299"/>
      <c r="R65" s="299"/>
      <c r="S65" s="299"/>
      <c r="T65" s="299"/>
    </row>
    <row r="66" spans="2:20" x14ac:dyDescent="0.3">
      <c r="B66" s="299"/>
      <c r="C66" s="299"/>
      <c r="D66" s="299"/>
      <c r="E66" s="299"/>
      <c r="F66" s="299"/>
      <c r="G66" s="299"/>
      <c r="H66" s="299"/>
      <c r="I66" s="299"/>
      <c r="J66" s="299"/>
      <c r="K66" s="299"/>
      <c r="L66" s="299"/>
      <c r="M66" s="299"/>
      <c r="N66" s="299"/>
      <c r="O66" s="299"/>
      <c r="P66" s="299"/>
      <c r="Q66" s="299"/>
      <c r="R66" s="299"/>
      <c r="S66" s="299"/>
      <c r="T66" s="299"/>
    </row>
    <row r="67" spans="2:20" x14ac:dyDescent="0.3">
      <c r="B67" s="299"/>
      <c r="C67" s="299"/>
      <c r="D67" s="299"/>
      <c r="E67" s="299"/>
      <c r="F67" s="299"/>
      <c r="G67" s="299"/>
      <c r="H67" s="299"/>
      <c r="I67" s="299"/>
      <c r="J67" s="299"/>
      <c r="K67" s="299"/>
      <c r="L67" s="299"/>
      <c r="M67" s="299"/>
      <c r="N67" s="299"/>
      <c r="O67" s="299"/>
      <c r="P67" s="299"/>
      <c r="Q67" s="299"/>
      <c r="R67" s="299"/>
      <c r="S67" s="299"/>
      <c r="T67" s="299"/>
    </row>
    <row r="68" spans="2:20" x14ac:dyDescent="0.3">
      <c r="B68" s="299"/>
      <c r="C68" s="299"/>
      <c r="D68" s="299"/>
      <c r="E68" s="299"/>
      <c r="F68" s="299"/>
      <c r="G68" s="299"/>
      <c r="H68" s="299"/>
      <c r="I68" s="299"/>
      <c r="J68" s="299"/>
      <c r="K68" s="299"/>
      <c r="L68" s="299"/>
      <c r="M68" s="299"/>
      <c r="N68" s="299"/>
      <c r="O68" s="299"/>
      <c r="P68" s="299"/>
      <c r="Q68" s="299"/>
      <c r="R68" s="299"/>
      <c r="S68" s="299"/>
      <c r="T68" s="299"/>
    </row>
    <row r="69" spans="2:20" x14ac:dyDescent="0.3">
      <c r="B69" s="299"/>
      <c r="C69" s="299"/>
      <c r="D69" s="299"/>
      <c r="E69" s="299"/>
      <c r="F69" s="299"/>
      <c r="G69" s="299"/>
      <c r="H69" s="299"/>
      <c r="I69" s="299"/>
      <c r="J69" s="299"/>
      <c r="K69" s="299"/>
      <c r="L69" s="299"/>
      <c r="M69" s="299"/>
      <c r="N69" s="299"/>
      <c r="O69" s="299"/>
      <c r="P69" s="299"/>
      <c r="Q69" s="299"/>
      <c r="R69" s="299"/>
      <c r="S69" s="299"/>
      <c r="T69" s="299"/>
    </row>
    <row r="70" spans="2:20" x14ac:dyDescent="0.3">
      <c r="B70" s="299"/>
      <c r="C70" s="299"/>
      <c r="D70" s="299"/>
      <c r="E70" s="299"/>
      <c r="F70" s="299"/>
      <c r="G70" s="299"/>
      <c r="H70" s="299"/>
      <c r="I70" s="299"/>
      <c r="J70" s="299"/>
      <c r="K70" s="299"/>
      <c r="L70" s="299"/>
      <c r="M70" s="299"/>
      <c r="N70" s="299"/>
      <c r="O70" s="299"/>
      <c r="P70" s="299"/>
      <c r="Q70" s="299"/>
      <c r="R70" s="299"/>
      <c r="S70" s="299"/>
      <c r="T70" s="299"/>
    </row>
    <row r="71" spans="2:20" x14ac:dyDescent="0.3">
      <c r="B71" s="299"/>
      <c r="C71" s="299"/>
      <c r="D71" s="299"/>
      <c r="E71" s="299"/>
      <c r="F71" s="299"/>
      <c r="G71" s="299"/>
      <c r="H71" s="299"/>
      <c r="I71" s="299"/>
      <c r="J71" s="299"/>
      <c r="K71" s="299"/>
      <c r="L71" s="299"/>
      <c r="M71" s="299"/>
      <c r="N71" s="299"/>
      <c r="O71" s="299"/>
      <c r="P71" s="299"/>
      <c r="Q71" s="299"/>
      <c r="R71" s="299"/>
      <c r="S71" s="299"/>
      <c r="T71" s="299"/>
    </row>
    <row r="72" spans="2:20" x14ac:dyDescent="0.3">
      <c r="B72" s="299"/>
      <c r="C72" s="299"/>
      <c r="D72" s="299"/>
      <c r="E72" s="299"/>
      <c r="F72" s="299"/>
      <c r="G72" s="299"/>
      <c r="H72" s="299"/>
      <c r="I72" s="299"/>
      <c r="J72" s="299"/>
      <c r="K72" s="299"/>
      <c r="L72" s="299"/>
      <c r="M72" s="299"/>
      <c r="N72" s="299"/>
      <c r="O72" s="299"/>
      <c r="P72" s="299"/>
      <c r="Q72" s="299"/>
      <c r="R72" s="299"/>
      <c r="S72" s="299"/>
      <c r="T72" s="299"/>
    </row>
    <row r="73" spans="2:20" x14ac:dyDescent="0.3">
      <c r="B73" s="299"/>
      <c r="C73" s="299"/>
      <c r="D73" s="299"/>
      <c r="E73" s="299"/>
      <c r="F73" s="299"/>
      <c r="G73" s="299"/>
      <c r="H73" s="299"/>
      <c r="I73" s="299"/>
      <c r="J73" s="299"/>
      <c r="K73" s="299"/>
      <c r="L73" s="299"/>
      <c r="M73" s="299"/>
      <c r="N73" s="299"/>
      <c r="O73" s="299"/>
      <c r="P73" s="299"/>
      <c r="Q73" s="299"/>
      <c r="R73" s="299"/>
      <c r="S73" s="299"/>
      <c r="T73" s="299"/>
    </row>
    <row r="74" spans="2:20" x14ac:dyDescent="0.3">
      <c r="B74" s="299"/>
      <c r="C74" s="299"/>
      <c r="D74" s="299"/>
      <c r="E74" s="299"/>
      <c r="F74" s="299"/>
      <c r="G74" s="299"/>
      <c r="H74" s="299"/>
      <c r="I74" s="299"/>
      <c r="J74" s="299"/>
      <c r="K74" s="299"/>
      <c r="L74" s="299"/>
      <c r="M74" s="299"/>
      <c r="N74" s="299"/>
      <c r="O74" s="299"/>
      <c r="P74" s="299"/>
      <c r="Q74" s="299"/>
      <c r="R74" s="299"/>
      <c r="S74" s="299"/>
      <c r="T74" s="299"/>
    </row>
    <row r="75" spans="2:20" x14ac:dyDescent="0.3">
      <c r="B75" s="299"/>
      <c r="C75" s="299"/>
      <c r="D75" s="299"/>
      <c r="E75" s="299"/>
      <c r="F75" s="299"/>
      <c r="G75" s="299"/>
      <c r="H75" s="299"/>
      <c r="I75" s="299"/>
      <c r="J75" s="299"/>
      <c r="K75" s="299"/>
      <c r="L75" s="299"/>
      <c r="M75" s="299"/>
      <c r="N75" s="299"/>
      <c r="O75" s="299"/>
      <c r="P75" s="299"/>
      <c r="Q75" s="299"/>
      <c r="R75" s="299"/>
      <c r="S75" s="299"/>
      <c r="T75" s="299"/>
    </row>
    <row r="76" spans="2:20" x14ac:dyDescent="0.3">
      <c r="B76" s="299"/>
      <c r="C76" s="299"/>
      <c r="D76" s="299"/>
      <c r="E76" s="299"/>
      <c r="F76" s="299"/>
      <c r="G76" s="299"/>
      <c r="H76" s="299"/>
      <c r="I76" s="299"/>
      <c r="J76" s="299"/>
      <c r="K76" s="299"/>
      <c r="L76" s="299"/>
      <c r="M76" s="299"/>
      <c r="N76" s="299"/>
      <c r="O76" s="299"/>
      <c r="P76" s="299"/>
      <c r="Q76" s="299"/>
      <c r="R76" s="299"/>
      <c r="S76" s="299"/>
      <c r="T76" s="299"/>
    </row>
    <row r="77" spans="2:20" x14ac:dyDescent="0.3">
      <c r="B77" s="299"/>
      <c r="C77" s="299"/>
      <c r="D77" s="299"/>
      <c r="E77" s="299"/>
      <c r="F77" s="299"/>
      <c r="G77" s="299"/>
      <c r="H77" s="299"/>
      <c r="I77" s="299"/>
      <c r="J77" s="299"/>
      <c r="K77" s="299"/>
      <c r="L77" s="299"/>
      <c r="M77" s="299"/>
      <c r="N77" s="299"/>
      <c r="O77" s="299"/>
      <c r="P77" s="299"/>
      <c r="Q77" s="299"/>
      <c r="R77" s="299"/>
      <c r="S77" s="299"/>
      <c r="T77" s="299"/>
    </row>
    <row r="78" spans="2:20" x14ac:dyDescent="0.3">
      <c r="B78" s="299"/>
      <c r="C78" s="299"/>
      <c r="D78" s="299"/>
      <c r="E78" s="299"/>
      <c r="F78" s="299"/>
      <c r="G78" s="299"/>
      <c r="H78" s="299"/>
      <c r="I78" s="299"/>
      <c r="J78" s="299"/>
      <c r="K78" s="299"/>
      <c r="L78" s="299"/>
      <c r="M78" s="299"/>
      <c r="N78" s="299"/>
      <c r="O78" s="299"/>
      <c r="P78" s="299"/>
      <c r="Q78" s="299"/>
      <c r="R78" s="299"/>
      <c r="S78" s="299"/>
      <c r="T78" s="299"/>
    </row>
    <row r="79" spans="2:20" x14ac:dyDescent="0.3">
      <c r="B79" s="299"/>
      <c r="C79" s="299"/>
      <c r="D79" s="299"/>
      <c r="E79" s="299"/>
      <c r="F79" s="299"/>
      <c r="G79" s="299"/>
      <c r="H79" s="299"/>
      <c r="I79" s="299"/>
      <c r="J79" s="299"/>
      <c r="K79" s="299"/>
      <c r="L79" s="299"/>
      <c r="M79" s="299"/>
      <c r="N79" s="299"/>
      <c r="O79" s="299"/>
      <c r="P79" s="299"/>
      <c r="Q79" s="299"/>
      <c r="R79" s="299"/>
      <c r="S79" s="299"/>
      <c r="T79" s="299"/>
    </row>
    <row r="80" spans="2:20" x14ac:dyDescent="0.3">
      <c r="B80" s="299"/>
      <c r="C80" s="299"/>
      <c r="D80" s="299"/>
      <c r="E80" s="299"/>
      <c r="F80" s="299"/>
      <c r="G80" s="299"/>
      <c r="H80" s="299"/>
      <c r="I80" s="299"/>
      <c r="J80" s="299"/>
      <c r="K80" s="299"/>
      <c r="L80" s="299"/>
      <c r="M80" s="299"/>
      <c r="N80" s="299"/>
      <c r="O80" s="299"/>
      <c r="P80" s="299"/>
      <c r="Q80" s="299"/>
      <c r="R80" s="299"/>
      <c r="S80" s="299"/>
      <c r="T80" s="299"/>
    </row>
    <row r="81" spans="2:20" x14ac:dyDescent="0.3">
      <c r="B81" s="299"/>
      <c r="C81" s="299"/>
      <c r="D81" s="299"/>
      <c r="E81" s="299"/>
      <c r="F81" s="299"/>
      <c r="G81" s="299"/>
      <c r="H81" s="299"/>
      <c r="I81" s="299"/>
      <c r="J81" s="299"/>
      <c r="K81" s="299"/>
      <c r="L81" s="299"/>
      <c r="M81" s="299"/>
      <c r="N81" s="299"/>
      <c r="O81" s="299"/>
      <c r="P81" s="299"/>
      <c r="Q81" s="299"/>
      <c r="R81" s="299"/>
      <c r="S81" s="299"/>
      <c r="T81" s="299"/>
    </row>
    <row r="82" spans="2:20" x14ac:dyDescent="0.3">
      <c r="B82" s="299"/>
      <c r="C82" s="299"/>
      <c r="D82" s="299"/>
      <c r="E82" s="299"/>
      <c r="F82" s="299"/>
      <c r="G82" s="299"/>
      <c r="H82" s="299"/>
      <c r="I82" s="299"/>
      <c r="J82" s="299"/>
      <c r="K82" s="299"/>
      <c r="L82" s="299"/>
      <c r="M82" s="299"/>
      <c r="N82" s="299"/>
      <c r="O82" s="299"/>
      <c r="P82" s="299"/>
      <c r="Q82" s="299"/>
      <c r="R82" s="299"/>
      <c r="S82" s="299"/>
      <c r="T82" s="299"/>
    </row>
    <row r="83" spans="2:20" x14ac:dyDescent="0.3">
      <c r="B83" s="299"/>
      <c r="C83" s="299"/>
      <c r="D83" s="299"/>
      <c r="E83" s="299"/>
      <c r="F83" s="299"/>
      <c r="G83" s="299"/>
      <c r="H83" s="299"/>
      <c r="I83" s="299"/>
      <c r="J83" s="299"/>
      <c r="K83" s="299"/>
      <c r="L83" s="299"/>
      <c r="M83" s="299"/>
      <c r="N83" s="299"/>
      <c r="O83" s="299"/>
      <c r="P83" s="299"/>
      <c r="Q83" s="299"/>
      <c r="R83" s="299"/>
      <c r="S83" s="299"/>
      <c r="T83" s="299"/>
    </row>
    <row r="84" spans="2:20" x14ac:dyDescent="0.3">
      <c r="B84" s="299"/>
      <c r="C84" s="299"/>
      <c r="D84" s="299"/>
      <c r="E84" s="299"/>
      <c r="F84" s="299"/>
      <c r="G84" s="299"/>
      <c r="H84" s="299"/>
      <c r="I84" s="299"/>
      <c r="J84" s="299"/>
      <c r="K84" s="299"/>
      <c r="L84" s="299"/>
      <c r="M84" s="299"/>
      <c r="N84" s="299"/>
      <c r="O84" s="299"/>
      <c r="P84" s="299"/>
      <c r="Q84" s="299"/>
      <c r="R84" s="299"/>
      <c r="S84" s="299"/>
      <c r="T84" s="299"/>
    </row>
    <row r="85" spans="2:20" x14ac:dyDescent="0.3">
      <c r="B85" s="299"/>
      <c r="C85" s="299"/>
      <c r="D85" s="299"/>
      <c r="E85" s="299"/>
      <c r="F85" s="299"/>
      <c r="G85" s="299"/>
      <c r="H85" s="299"/>
      <c r="I85" s="299"/>
      <c r="J85" s="299"/>
      <c r="K85" s="299"/>
      <c r="L85" s="299"/>
      <c r="M85" s="299"/>
      <c r="N85" s="299"/>
      <c r="O85" s="299"/>
      <c r="P85" s="299"/>
      <c r="Q85" s="299"/>
      <c r="R85" s="299"/>
      <c r="S85" s="299"/>
      <c r="T85" s="299"/>
    </row>
    <row r="86" spans="2:20" x14ac:dyDescent="0.3">
      <c r="B86" s="299"/>
      <c r="C86" s="299"/>
      <c r="D86" s="299"/>
      <c r="E86" s="299"/>
      <c r="F86" s="299"/>
      <c r="G86" s="299"/>
      <c r="H86" s="299"/>
      <c r="I86" s="299"/>
      <c r="J86" s="299"/>
      <c r="K86" s="299"/>
      <c r="L86" s="299"/>
      <c r="M86" s="299"/>
      <c r="N86" s="299"/>
      <c r="O86" s="299"/>
      <c r="P86" s="299"/>
      <c r="Q86" s="299"/>
      <c r="R86" s="299"/>
      <c r="S86" s="299"/>
      <c r="T86" s="299"/>
    </row>
    <row r="87" spans="2:20" x14ac:dyDescent="0.3">
      <c r="B87" s="299"/>
      <c r="C87" s="299"/>
      <c r="D87" s="299"/>
      <c r="E87" s="299"/>
      <c r="F87" s="299"/>
      <c r="G87" s="299"/>
      <c r="H87" s="299"/>
      <c r="I87" s="299"/>
      <c r="J87" s="299"/>
      <c r="K87" s="299"/>
      <c r="L87" s="299"/>
      <c r="M87" s="299"/>
      <c r="N87" s="299"/>
      <c r="O87" s="299"/>
      <c r="P87" s="299"/>
      <c r="Q87" s="299"/>
      <c r="R87" s="299"/>
      <c r="S87" s="299"/>
      <c r="T87" s="299"/>
    </row>
    <row r="88" spans="2:20" x14ac:dyDescent="0.3">
      <c r="B88" s="299"/>
      <c r="C88" s="299"/>
      <c r="D88" s="299"/>
      <c r="E88" s="299"/>
      <c r="F88" s="299"/>
      <c r="G88" s="299"/>
      <c r="H88" s="299"/>
      <c r="I88" s="299"/>
      <c r="J88" s="299"/>
      <c r="K88" s="299"/>
      <c r="L88" s="299"/>
      <c r="M88" s="299"/>
      <c r="N88" s="299"/>
      <c r="O88" s="299"/>
      <c r="P88" s="299"/>
      <c r="Q88" s="299"/>
      <c r="R88" s="299"/>
      <c r="S88" s="299"/>
      <c r="T88" s="299"/>
    </row>
    <row r="89" spans="2:20" x14ac:dyDescent="0.3">
      <c r="B89" s="299"/>
      <c r="C89" s="299"/>
      <c r="D89" s="299"/>
      <c r="E89" s="299"/>
      <c r="F89" s="299"/>
      <c r="G89" s="299"/>
      <c r="H89" s="299"/>
      <c r="I89" s="299"/>
      <c r="J89" s="299"/>
      <c r="K89" s="299"/>
      <c r="L89" s="299"/>
      <c r="M89" s="299"/>
      <c r="N89" s="299"/>
      <c r="O89" s="299"/>
      <c r="P89" s="299"/>
      <c r="Q89" s="299"/>
      <c r="R89" s="299"/>
      <c r="S89" s="299"/>
      <c r="T89" s="299"/>
    </row>
    <row r="90" spans="2:20" x14ac:dyDescent="0.3">
      <c r="B90" s="299"/>
      <c r="C90" s="299"/>
      <c r="D90" s="299"/>
      <c r="E90" s="299"/>
      <c r="F90" s="299"/>
      <c r="G90" s="299"/>
      <c r="H90" s="299"/>
      <c r="I90" s="299"/>
      <c r="J90" s="299"/>
      <c r="K90" s="299"/>
      <c r="L90" s="299"/>
      <c r="M90" s="299"/>
      <c r="N90" s="299"/>
      <c r="O90" s="299"/>
      <c r="P90" s="299"/>
      <c r="Q90" s="299"/>
      <c r="R90" s="299"/>
      <c r="S90" s="299"/>
      <c r="T90" s="299"/>
    </row>
    <row r="91" spans="2:20" x14ac:dyDescent="0.3">
      <c r="B91" s="299"/>
      <c r="C91" s="299"/>
      <c r="D91" s="299"/>
      <c r="E91" s="299"/>
      <c r="F91" s="299"/>
      <c r="G91" s="299"/>
      <c r="H91" s="299"/>
      <c r="I91" s="299"/>
      <c r="J91" s="299"/>
      <c r="K91" s="299"/>
      <c r="L91" s="299"/>
      <c r="M91" s="299"/>
      <c r="N91" s="299"/>
      <c r="O91" s="299"/>
      <c r="P91" s="299"/>
      <c r="Q91" s="299"/>
      <c r="R91" s="299"/>
      <c r="S91" s="299"/>
      <c r="T91" s="299"/>
    </row>
    <row r="92" spans="2:20" x14ac:dyDescent="0.3">
      <c r="B92" s="299"/>
      <c r="C92" s="299"/>
      <c r="D92" s="299"/>
      <c r="E92" s="299"/>
      <c r="F92" s="299"/>
      <c r="G92" s="299"/>
      <c r="H92" s="299"/>
      <c r="I92" s="299"/>
      <c r="J92" s="299"/>
      <c r="K92" s="299"/>
      <c r="L92" s="299"/>
      <c r="M92" s="299"/>
      <c r="N92" s="299"/>
      <c r="O92" s="299"/>
      <c r="P92" s="299"/>
      <c r="Q92" s="299"/>
      <c r="R92" s="299"/>
      <c r="S92" s="299"/>
      <c r="T92" s="299"/>
    </row>
    <row r="93" spans="2:20" x14ac:dyDescent="0.3">
      <c r="B93" s="299"/>
      <c r="C93" s="299"/>
      <c r="D93" s="299"/>
      <c r="E93" s="299"/>
      <c r="F93" s="299"/>
      <c r="G93" s="299"/>
      <c r="H93" s="299"/>
      <c r="I93" s="299"/>
      <c r="J93" s="299"/>
      <c r="K93" s="299"/>
      <c r="L93" s="299"/>
      <c r="M93" s="299"/>
      <c r="N93" s="299"/>
      <c r="O93" s="299"/>
      <c r="P93" s="299"/>
      <c r="Q93" s="299"/>
      <c r="R93" s="299"/>
      <c r="S93" s="299"/>
      <c r="T93" s="299"/>
    </row>
    <row r="94" spans="2:20" x14ac:dyDescent="0.3">
      <c r="B94" s="299"/>
      <c r="C94" s="299"/>
      <c r="D94" s="299"/>
      <c r="E94" s="299"/>
      <c r="F94" s="299"/>
      <c r="G94" s="299"/>
      <c r="H94" s="299"/>
      <c r="I94" s="299"/>
      <c r="J94" s="299"/>
      <c r="K94" s="299"/>
      <c r="L94" s="299"/>
      <c r="M94" s="299"/>
      <c r="N94" s="299"/>
      <c r="O94" s="299"/>
      <c r="P94" s="299"/>
      <c r="Q94" s="299"/>
      <c r="R94" s="299"/>
      <c r="S94" s="299"/>
      <c r="T94" s="299"/>
    </row>
    <row r="95" spans="2:20" x14ac:dyDescent="0.3">
      <c r="B95" s="299"/>
      <c r="C95" s="299"/>
      <c r="D95" s="299"/>
      <c r="E95" s="299"/>
      <c r="F95" s="299"/>
      <c r="G95" s="299"/>
      <c r="H95" s="299"/>
      <c r="I95" s="299"/>
      <c r="J95" s="299"/>
      <c r="K95" s="299"/>
      <c r="L95" s="299"/>
      <c r="M95" s="299"/>
      <c r="N95" s="299"/>
      <c r="O95" s="299"/>
      <c r="P95" s="299"/>
      <c r="Q95" s="299"/>
      <c r="R95" s="299"/>
      <c r="S95" s="299"/>
      <c r="T95" s="299"/>
    </row>
    <row r="96" spans="2:20" x14ac:dyDescent="0.3">
      <c r="B96" s="299"/>
      <c r="C96" s="299"/>
      <c r="D96" s="299"/>
      <c r="E96" s="299"/>
      <c r="F96" s="299"/>
      <c r="G96" s="299"/>
      <c r="H96" s="299"/>
      <c r="I96" s="299"/>
      <c r="J96" s="299"/>
      <c r="K96" s="299"/>
      <c r="L96" s="299"/>
      <c r="M96" s="299"/>
      <c r="N96" s="299"/>
      <c r="O96" s="299"/>
      <c r="P96" s="299"/>
      <c r="Q96" s="299"/>
      <c r="R96" s="299"/>
      <c r="S96" s="299"/>
      <c r="T96" s="299"/>
    </row>
    <row r="97" spans="2:20" x14ac:dyDescent="0.3">
      <c r="B97" s="299"/>
      <c r="C97" s="299"/>
      <c r="D97" s="299"/>
      <c r="E97" s="299"/>
      <c r="F97" s="299"/>
      <c r="G97" s="299"/>
      <c r="H97" s="299"/>
      <c r="I97" s="299"/>
      <c r="J97" s="299"/>
      <c r="K97" s="299"/>
      <c r="L97" s="299"/>
      <c r="M97" s="299"/>
      <c r="N97" s="299"/>
      <c r="O97" s="299"/>
      <c r="P97" s="299"/>
      <c r="Q97" s="299"/>
      <c r="R97" s="299"/>
      <c r="S97" s="299"/>
      <c r="T97" s="299"/>
    </row>
    <row r="98" spans="2:20" x14ac:dyDescent="0.3">
      <c r="B98" s="299"/>
      <c r="C98" s="299"/>
      <c r="D98" s="299"/>
      <c r="E98" s="299"/>
      <c r="F98" s="299"/>
      <c r="G98" s="299"/>
      <c r="H98" s="299"/>
      <c r="I98" s="299"/>
      <c r="J98" s="299"/>
      <c r="K98" s="299"/>
      <c r="L98" s="299"/>
      <c r="M98" s="299"/>
      <c r="N98" s="299"/>
      <c r="O98" s="299"/>
      <c r="P98" s="299"/>
      <c r="Q98" s="299"/>
      <c r="R98" s="299"/>
      <c r="S98" s="299"/>
      <c r="T98" s="299"/>
    </row>
    <row r="99" spans="2:20" x14ac:dyDescent="0.3">
      <c r="B99" s="299"/>
      <c r="C99" s="299"/>
      <c r="D99" s="299"/>
      <c r="E99" s="299"/>
      <c r="F99" s="299"/>
      <c r="G99" s="299"/>
      <c r="H99" s="299"/>
      <c r="I99" s="299"/>
      <c r="J99" s="299"/>
      <c r="K99" s="299"/>
      <c r="L99" s="299"/>
      <c r="M99" s="299"/>
      <c r="N99" s="299"/>
      <c r="O99" s="299"/>
      <c r="P99" s="299"/>
      <c r="Q99" s="299"/>
      <c r="R99" s="299"/>
      <c r="S99" s="299"/>
      <c r="T99" s="299"/>
    </row>
    <row r="100" spans="2:20" x14ac:dyDescent="0.3">
      <c r="B100" s="299"/>
      <c r="C100" s="299"/>
      <c r="D100" s="299"/>
      <c r="E100" s="299"/>
      <c r="F100" s="299"/>
      <c r="G100" s="299"/>
      <c r="H100" s="299"/>
      <c r="I100" s="299"/>
      <c r="J100" s="299"/>
      <c r="K100" s="299"/>
      <c r="L100" s="299"/>
      <c r="M100" s="299"/>
      <c r="N100" s="299"/>
      <c r="O100" s="299"/>
      <c r="P100" s="299"/>
      <c r="Q100" s="299"/>
      <c r="R100" s="299"/>
      <c r="S100" s="299"/>
      <c r="T100" s="299"/>
    </row>
    <row r="101" spans="2:20" x14ac:dyDescent="0.3">
      <c r="B101" s="299"/>
      <c r="C101" s="299"/>
      <c r="D101" s="299"/>
      <c r="E101" s="299"/>
      <c r="F101" s="299"/>
      <c r="G101" s="299"/>
      <c r="H101" s="299"/>
      <c r="I101" s="299"/>
      <c r="J101" s="299"/>
      <c r="K101" s="299"/>
      <c r="L101" s="299"/>
      <c r="M101" s="299"/>
      <c r="N101" s="299"/>
      <c r="O101" s="299"/>
      <c r="P101" s="299"/>
      <c r="Q101" s="299"/>
      <c r="R101" s="299"/>
      <c r="S101" s="299"/>
      <c r="T101" s="299"/>
    </row>
    <row r="102" spans="2:20" x14ac:dyDescent="0.3">
      <c r="B102" s="299"/>
      <c r="C102" s="299"/>
      <c r="D102" s="299"/>
      <c r="E102" s="299"/>
      <c r="F102" s="299"/>
      <c r="G102" s="299"/>
      <c r="H102" s="299"/>
      <c r="I102" s="299"/>
      <c r="J102" s="299"/>
      <c r="K102" s="299"/>
      <c r="L102" s="299"/>
      <c r="M102" s="299"/>
      <c r="N102" s="299"/>
      <c r="O102" s="299"/>
      <c r="P102" s="299"/>
      <c r="Q102" s="299"/>
      <c r="R102" s="299"/>
      <c r="S102" s="299"/>
      <c r="T102" s="299"/>
    </row>
    <row r="103" spans="2:20" x14ac:dyDescent="0.3">
      <c r="B103" s="299"/>
      <c r="C103" s="299"/>
      <c r="D103" s="299"/>
      <c r="E103" s="299"/>
      <c r="F103" s="299"/>
      <c r="G103" s="299"/>
      <c r="H103" s="299"/>
      <c r="I103" s="299"/>
      <c r="J103" s="299"/>
      <c r="K103" s="299"/>
      <c r="L103" s="299"/>
      <c r="M103" s="299"/>
      <c r="N103" s="299"/>
      <c r="O103" s="299"/>
      <c r="P103" s="299"/>
      <c r="Q103" s="299"/>
      <c r="R103" s="299"/>
      <c r="S103" s="299"/>
      <c r="T103" s="299"/>
    </row>
    <row r="104" spans="2:20" x14ac:dyDescent="0.3">
      <c r="B104" s="299"/>
      <c r="C104" s="299"/>
      <c r="D104" s="299"/>
      <c r="E104" s="299"/>
      <c r="F104" s="299"/>
      <c r="G104" s="299"/>
      <c r="H104" s="299"/>
      <c r="I104" s="299"/>
      <c r="J104" s="299"/>
      <c r="K104" s="299"/>
      <c r="L104" s="299"/>
      <c r="M104" s="299"/>
      <c r="N104" s="299"/>
      <c r="O104" s="299"/>
      <c r="P104" s="299"/>
      <c r="Q104" s="299"/>
      <c r="R104" s="299"/>
      <c r="S104" s="299"/>
      <c r="T104" s="299"/>
    </row>
    <row r="105" spans="2:20" x14ac:dyDescent="0.3">
      <c r="B105" s="299"/>
      <c r="C105" s="299"/>
      <c r="D105" s="299"/>
      <c r="E105" s="299"/>
      <c r="F105" s="299"/>
      <c r="G105" s="299"/>
      <c r="H105" s="299"/>
      <c r="I105" s="299"/>
      <c r="J105" s="299"/>
      <c r="K105" s="299"/>
      <c r="L105" s="299"/>
      <c r="M105" s="299"/>
      <c r="N105" s="299"/>
      <c r="O105" s="299"/>
      <c r="P105" s="299"/>
      <c r="Q105" s="299"/>
      <c r="R105" s="299"/>
      <c r="S105" s="299"/>
      <c r="T105" s="299"/>
    </row>
    <row r="106" spans="2:20" x14ac:dyDescent="0.3">
      <c r="B106" s="299"/>
      <c r="C106" s="299"/>
      <c r="D106" s="299"/>
      <c r="E106" s="299"/>
      <c r="F106" s="299"/>
      <c r="G106" s="299"/>
      <c r="H106" s="299"/>
      <c r="I106" s="299"/>
      <c r="J106" s="299"/>
      <c r="K106" s="299"/>
      <c r="L106" s="299"/>
      <c r="M106" s="299"/>
      <c r="N106" s="299"/>
      <c r="O106" s="299"/>
      <c r="P106" s="299"/>
      <c r="Q106" s="299"/>
      <c r="R106" s="299"/>
      <c r="S106" s="299"/>
      <c r="T106" s="299"/>
    </row>
    <row r="107" spans="2:20" x14ac:dyDescent="0.3">
      <c r="B107" s="299"/>
      <c r="C107" s="299"/>
      <c r="D107" s="299"/>
      <c r="E107" s="299"/>
      <c r="F107" s="299"/>
      <c r="G107" s="299"/>
      <c r="H107" s="299"/>
      <c r="I107" s="299"/>
      <c r="J107" s="299"/>
      <c r="K107" s="299"/>
      <c r="L107" s="299"/>
      <c r="M107" s="299"/>
      <c r="N107" s="299"/>
      <c r="O107" s="299"/>
      <c r="P107" s="299"/>
      <c r="Q107" s="299"/>
      <c r="R107" s="299"/>
      <c r="S107" s="299"/>
      <c r="T107" s="299"/>
    </row>
    <row r="108" spans="2:20" x14ac:dyDescent="0.3">
      <c r="B108" s="299"/>
      <c r="C108" s="299"/>
      <c r="D108" s="299"/>
      <c r="E108" s="299"/>
      <c r="F108" s="299"/>
      <c r="G108" s="299"/>
      <c r="H108" s="299"/>
      <c r="I108" s="299"/>
      <c r="J108" s="299"/>
      <c r="K108" s="299"/>
      <c r="L108" s="299"/>
      <c r="M108" s="299"/>
      <c r="N108" s="299"/>
      <c r="O108" s="299"/>
      <c r="P108" s="299"/>
      <c r="Q108" s="299"/>
      <c r="R108" s="299"/>
      <c r="S108" s="299"/>
      <c r="T108" s="299"/>
    </row>
    <row r="109" spans="2:20" x14ac:dyDescent="0.3">
      <c r="B109" s="299"/>
      <c r="C109" s="299"/>
      <c r="D109" s="299"/>
      <c r="E109" s="299"/>
      <c r="F109" s="299"/>
      <c r="G109" s="299"/>
      <c r="H109" s="299"/>
      <c r="I109" s="299"/>
      <c r="J109" s="299"/>
      <c r="K109" s="299"/>
      <c r="L109" s="299"/>
      <c r="M109" s="299"/>
      <c r="N109" s="299"/>
      <c r="O109" s="299"/>
      <c r="P109" s="299"/>
      <c r="Q109" s="299"/>
      <c r="R109" s="299"/>
      <c r="S109" s="299"/>
      <c r="T109" s="299"/>
    </row>
    <row r="110" spans="2:20" x14ac:dyDescent="0.3">
      <c r="B110" s="299"/>
      <c r="C110" s="299"/>
      <c r="D110" s="299"/>
      <c r="E110" s="299"/>
      <c r="F110" s="299"/>
      <c r="G110" s="299"/>
      <c r="H110" s="299"/>
      <c r="I110" s="299"/>
      <c r="J110" s="299"/>
      <c r="K110" s="299"/>
      <c r="L110" s="299"/>
      <c r="M110" s="299"/>
      <c r="N110" s="299"/>
      <c r="O110" s="299"/>
      <c r="P110" s="299"/>
      <c r="Q110" s="299"/>
      <c r="R110" s="299"/>
      <c r="S110" s="299"/>
      <c r="T110" s="299"/>
    </row>
    <row r="111" spans="2:20" x14ac:dyDescent="0.3">
      <c r="B111" s="299"/>
      <c r="C111" s="299"/>
      <c r="D111" s="299"/>
      <c r="E111" s="299"/>
      <c r="F111" s="299"/>
      <c r="G111" s="299"/>
      <c r="H111" s="299"/>
      <c r="I111" s="299"/>
      <c r="J111" s="299"/>
      <c r="K111" s="299"/>
      <c r="L111" s="299"/>
      <c r="M111" s="299"/>
      <c r="N111" s="299"/>
      <c r="O111" s="299"/>
      <c r="P111" s="299"/>
      <c r="Q111" s="299"/>
      <c r="R111" s="299"/>
      <c r="S111" s="299"/>
      <c r="T111" s="299"/>
    </row>
    <row r="112" spans="2:20" x14ac:dyDescent="0.3">
      <c r="B112" s="299"/>
      <c r="C112" s="299"/>
      <c r="D112" s="299"/>
      <c r="E112" s="299"/>
      <c r="F112" s="299"/>
      <c r="G112" s="299"/>
      <c r="H112" s="299"/>
      <c r="I112" s="299"/>
      <c r="J112" s="299"/>
      <c r="K112" s="299"/>
      <c r="L112" s="299"/>
      <c r="M112" s="299"/>
      <c r="N112" s="299"/>
      <c r="O112" s="299"/>
      <c r="P112" s="299"/>
      <c r="Q112" s="299"/>
      <c r="R112" s="299"/>
      <c r="S112" s="299"/>
      <c r="T112" s="299"/>
    </row>
    <row r="113" spans="2:20" x14ac:dyDescent="0.3">
      <c r="B113" s="299"/>
      <c r="C113" s="299"/>
      <c r="D113" s="299"/>
      <c r="E113" s="299"/>
      <c r="F113" s="299"/>
      <c r="G113" s="299"/>
      <c r="H113" s="299"/>
      <c r="I113" s="299"/>
      <c r="J113" s="299"/>
      <c r="K113" s="299"/>
      <c r="L113" s="299"/>
      <c r="M113" s="299"/>
      <c r="N113" s="299"/>
      <c r="O113" s="299"/>
      <c r="P113" s="299"/>
      <c r="Q113" s="299"/>
      <c r="R113" s="299"/>
      <c r="S113" s="299"/>
      <c r="T113" s="299"/>
    </row>
    <row r="114" spans="2:20" x14ac:dyDescent="0.3">
      <c r="B114" s="299"/>
      <c r="C114" s="299"/>
      <c r="D114" s="299"/>
      <c r="E114" s="299"/>
      <c r="F114" s="299"/>
      <c r="G114" s="299"/>
      <c r="H114" s="299"/>
      <c r="I114" s="299"/>
      <c r="J114" s="299"/>
      <c r="K114" s="299"/>
      <c r="L114" s="299"/>
      <c r="M114" s="299"/>
      <c r="N114" s="299"/>
      <c r="O114" s="299"/>
      <c r="P114" s="299"/>
      <c r="Q114" s="299"/>
      <c r="R114" s="299"/>
      <c r="S114" s="299"/>
      <c r="T114" s="299"/>
    </row>
    <row r="115" spans="2:20" x14ac:dyDescent="0.3">
      <c r="B115" s="299"/>
      <c r="C115" s="299"/>
      <c r="D115" s="299"/>
      <c r="E115" s="299"/>
      <c r="F115" s="299"/>
      <c r="G115" s="299"/>
      <c r="H115" s="299"/>
      <c r="I115" s="299"/>
      <c r="J115" s="299"/>
      <c r="K115" s="299"/>
      <c r="L115" s="299"/>
      <c r="M115" s="299"/>
      <c r="N115" s="299"/>
      <c r="O115" s="299"/>
      <c r="P115" s="299"/>
      <c r="Q115" s="299"/>
      <c r="R115" s="299"/>
      <c r="S115" s="299"/>
      <c r="T115" s="299"/>
    </row>
    <row r="116" spans="2:20" x14ac:dyDescent="0.3">
      <c r="B116" s="299"/>
      <c r="C116" s="299"/>
      <c r="D116" s="299"/>
      <c r="E116" s="299"/>
      <c r="F116" s="299"/>
      <c r="G116" s="299"/>
      <c r="H116" s="299"/>
      <c r="I116" s="299"/>
      <c r="J116" s="299"/>
      <c r="K116" s="299"/>
      <c r="L116" s="299"/>
      <c r="M116" s="299"/>
      <c r="N116" s="299"/>
      <c r="O116" s="299"/>
      <c r="P116" s="299"/>
      <c r="Q116" s="299"/>
      <c r="R116" s="299"/>
      <c r="S116" s="299"/>
      <c r="T116" s="299"/>
    </row>
    <row r="117" spans="2:20" x14ac:dyDescent="0.3">
      <c r="B117" s="299"/>
      <c r="C117" s="299"/>
      <c r="D117" s="299"/>
      <c r="E117" s="299"/>
      <c r="F117" s="299"/>
      <c r="G117" s="299"/>
      <c r="H117" s="299"/>
      <c r="I117" s="299"/>
      <c r="J117" s="299"/>
      <c r="K117" s="299"/>
      <c r="L117" s="299"/>
      <c r="M117" s="299"/>
      <c r="N117" s="299"/>
      <c r="O117" s="299"/>
      <c r="P117" s="299"/>
      <c r="Q117" s="299"/>
      <c r="R117" s="299"/>
      <c r="S117" s="299"/>
      <c r="T117" s="299"/>
    </row>
    <row r="118" spans="2:20" x14ac:dyDescent="0.3">
      <c r="B118" s="299"/>
      <c r="C118" s="299"/>
      <c r="D118" s="299"/>
      <c r="E118" s="299"/>
      <c r="F118" s="299"/>
      <c r="G118" s="299"/>
      <c r="H118" s="299"/>
      <c r="I118" s="299"/>
      <c r="J118" s="299"/>
      <c r="K118" s="299"/>
      <c r="L118" s="299"/>
      <c r="M118" s="299"/>
      <c r="N118" s="299"/>
      <c r="O118" s="299"/>
      <c r="P118" s="299"/>
      <c r="Q118" s="299"/>
      <c r="R118" s="299"/>
      <c r="S118" s="299"/>
      <c r="T118" s="299"/>
    </row>
    <row r="119" spans="2:20" x14ac:dyDescent="0.3">
      <c r="B119" s="299"/>
      <c r="C119" s="299"/>
      <c r="D119" s="299"/>
      <c r="E119" s="299"/>
      <c r="F119" s="299"/>
      <c r="G119" s="299"/>
      <c r="H119" s="299"/>
      <c r="I119" s="299"/>
      <c r="J119" s="299"/>
      <c r="K119" s="299"/>
      <c r="L119" s="299"/>
      <c r="M119" s="299"/>
      <c r="N119" s="299"/>
      <c r="O119" s="299"/>
      <c r="P119" s="299"/>
      <c r="Q119" s="299"/>
      <c r="R119" s="299"/>
      <c r="S119" s="299"/>
      <c r="T119" s="299"/>
    </row>
    <row r="120" spans="2:20" x14ac:dyDescent="0.3">
      <c r="B120" s="299"/>
      <c r="C120" s="299"/>
      <c r="D120" s="299"/>
      <c r="E120" s="299"/>
      <c r="F120" s="299"/>
      <c r="G120" s="299"/>
      <c r="H120" s="299"/>
      <c r="I120" s="299"/>
      <c r="J120" s="299"/>
      <c r="K120" s="299"/>
      <c r="L120" s="299"/>
      <c r="M120" s="299"/>
      <c r="N120" s="299"/>
      <c r="O120" s="299"/>
      <c r="P120" s="299"/>
      <c r="Q120" s="299"/>
      <c r="R120" s="299"/>
      <c r="S120" s="299"/>
      <c r="T120" s="299"/>
    </row>
    <row r="121" spans="2:20" x14ac:dyDescent="0.3">
      <c r="B121" s="299"/>
      <c r="C121" s="299"/>
      <c r="D121" s="299"/>
      <c r="E121" s="299"/>
      <c r="F121" s="299"/>
      <c r="G121" s="299"/>
      <c r="H121" s="299"/>
      <c r="I121" s="299"/>
      <c r="J121" s="299"/>
      <c r="K121" s="299"/>
      <c r="L121" s="299"/>
      <c r="M121" s="299"/>
      <c r="N121" s="299"/>
      <c r="O121" s="299"/>
      <c r="P121" s="299"/>
      <c r="Q121" s="299"/>
      <c r="R121" s="299"/>
      <c r="S121" s="299"/>
      <c r="T121" s="299"/>
    </row>
    <row r="122" spans="2:20" x14ac:dyDescent="0.3">
      <c r="B122" s="299"/>
      <c r="C122" s="299"/>
      <c r="D122" s="299"/>
      <c r="E122" s="299"/>
      <c r="F122" s="299"/>
      <c r="G122" s="299"/>
      <c r="H122" s="299"/>
      <c r="I122" s="299"/>
      <c r="J122" s="299"/>
      <c r="K122" s="299"/>
      <c r="L122" s="299"/>
      <c r="M122" s="299"/>
      <c r="N122" s="299"/>
      <c r="O122" s="299"/>
      <c r="P122" s="299"/>
      <c r="Q122" s="299"/>
      <c r="R122" s="299"/>
      <c r="S122" s="299"/>
      <c r="T122" s="299"/>
    </row>
    <row r="123" spans="2:20" x14ac:dyDescent="0.3">
      <c r="B123" s="299"/>
      <c r="C123" s="299"/>
      <c r="D123" s="299"/>
      <c r="E123" s="299"/>
      <c r="F123" s="299"/>
      <c r="G123" s="299"/>
      <c r="H123" s="299"/>
      <c r="I123" s="299"/>
      <c r="J123" s="299"/>
      <c r="K123" s="299"/>
      <c r="L123" s="299"/>
      <c r="M123" s="299"/>
      <c r="N123" s="299"/>
      <c r="O123" s="299"/>
      <c r="P123" s="299"/>
      <c r="Q123" s="299"/>
      <c r="R123" s="299"/>
      <c r="S123" s="299"/>
      <c r="T123" s="299"/>
    </row>
    <row r="124" spans="2:20" x14ac:dyDescent="0.3">
      <c r="B124" s="299"/>
      <c r="C124" s="299"/>
      <c r="D124" s="299"/>
      <c r="E124" s="299"/>
      <c r="F124" s="299"/>
      <c r="G124" s="299"/>
      <c r="H124" s="299"/>
      <c r="I124" s="299"/>
      <c r="J124" s="299"/>
      <c r="K124" s="299"/>
      <c r="L124" s="299"/>
      <c r="M124" s="299"/>
      <c r="N124" s="299"/>
      <c r="O124" s="299"/>
      <c r="P124" s="299"/>
      <c r="Q124" s="299"/>
      <c r="R124" s="299"/>
      <c r="S124" s="299"/>
      <c r="T124" s="299"/>
    </row>
    <row r="125" spans="2:20" x14ac:dyDescent="0.3">
      <c r="B125" s="299"/>
      <c r="C125" s="299"/>
      <c r="D125" s="299"/>
      <c r="E125" s="299"/>
      <c r="F125" s="299"/>
      <c r="G125" s="299"/>
      <c r="H125" s="299"/>
      <c r="I125" s="299"/>
      <c r="J125" s="299"/>
      <c r="K125" s="299"/>
      <c r="L125" s="299"/>
      <c r="M125" s="299"/>
      <c r="N125" s="299"/>
      <c r="O125" s="299"/>
      <c r="P125" s="299"/>
      <c r="Q125" s="299"/>
      <c r="R125" s="299"/>
      <c r="S125" s="299"/>
      <c r="T125" s="299"/>
    </row>
    <row r="126" spans="2:20" x14ac:dyDescent="0.3">
      <c r="B126" s="299"/>
      <c r="C126" s="299"/>
      <c r="D126" s="299"/>
      <c r="E126" s="299"/>
      <c r="F126" s="299"/>
      <c r="G126" s="299"/>
      <c r="H126" s="299"/>
      <c r="I126" s="299"/>
      <c r="J126" s="299"/>
      <c r="K126" s="299"/>
      <c r="L126" s="299"/>
      <c r="M126" s="299"/>
      <c r="N126" s="299"/>
      <c r="O126" s="299"/>
      <c r="P126" s="299"/>
      <c r="Q126" s="299"/>
      <c r="R126" s="299"/>
      <c r="S126" s="299"/>
      <c r="T126" s="299"/>
    </row>
    <row r="127" spans="2:20" x14ac:dyDescent="0.3">
      <c r="B127" s="299"/>
      <c r="C127" s="299"/>
      <c r="D127" s="299"/>
      <c r="E127" s="299"/>
      <c r="F127" s="299"/>
      <c r="G127" s="299"/>
      <c r="H127" s="299"/>
      <c r="I127" s="299"/>
      <c r="J127" s="299"/>
      <c r="K127" s="299"/>
      <c r="L127" s="299"/>
      <c r="M127" s="299"/>
      <c r="N127" s="299"/>
      <c r="O127" s="299"/>
      <c r="P127" s="299"/>
      <c r="Q127" s="299"/>
      <c r="R127" s="299"/>
      <c r="S127" s="299"/>
      <c r="T127" s="299"/>
    </row>
    <row r="128" spans="2:20" x14ac:dyDescent="0.3">
      <c r="B128" s="299"/>
      <c r="C128" s="299"/>
      <c r="D128" s="299"/>
      <c r="E128" s="299"/>
      <c r="F128" s="299"/>
      <c r="G128" s="299"/>
      <c r="H128" s="299"/>
      <c r="I128" s="299"/>
      <c r="J128" s="299"/>
      <c r="K128" s="299"/>
      <c r="L128" s="299"/>
      <c r="M128" s="299"/>
      <c r="N128" s="299"/>
      <c r="O128" s="299"/>
      <c r="P128" s="299"/>
      <c r="Q128" s="299"/>
      <c r="R128" s="299"/>
      <c r="S128" s="299"/>
      <c r="T128" s="299"/>
    </row>
    <row r="129" spans="2:20" x14ac:dyDescent="0.3">
      <c r="B129" s="299"/>
      <c r="C129" s="299"/>
      <c r="D129" s="299"/>
      <c r="E129" s="299"/>
      <c r="F129" s="299"/>
      <c r="G129" s="299"/>
      <c r="H129" s="299"/>
      <c r="I129" s="299"/>
      <c r="J129" s="299"/>
      <c r="K129" s="299"/>
      <c r="L129" s="299"/>
      <c r="M129" s="299"/>
      <c r="N129" s="299"/>
      <c r="O129" s="299"/>
      <c r="P129" s="299"/>
      <c r="Q129" s="299"/>
      <c r="R129" s="299"/>
      <c r="S129" s="299"/>
      <c r="T129" s="299"/>
    </row>
    <row r="130" spans="2:20" x14ac:dyDescent="0.3">
      <c r="B130" s="299"/>
      <c r="C130" s="299"/>
      <c r="D130" s="299"/>
      <c r="E130" s="299"/>
      <c r="F130" s="299"/>
      <c r="G130" s="299"/>
      <c r="H130" s="299"/>
      <c r="I130" s="299"/>
      <c r="J130" s="299"/>
      <c r="K130" s="299"/>
      <c r="L130" s="299"/>
      <c r="M130" s="299"/>
      <c r="N130" s="299"/>
      <c r="O130" s="299"/>
      <c r="P130" s="299"/>
      <c r="Q130" s="299"/>
      <c r="R130" s="299"/>
      <c r="S130" s="299"/>
      <c r="T130" s="299"/>
    </row>
    <row r="131" spans="2:20" x14ac:dyDescent="0.3">
      <c r="B131" s="299"/>
      <c r="C131" s="299"/>
      <c r="D131" s="299"/>
      <c r="E131" s="299"/>
      <c r="F131" s="299"/>
      <c r="G131" s="299"/>
      <c r="H131" s="299"/>
      <c r="I131" s="299"/>
      <c r="J131" s="299"/>
      <c r="K131" s="299"/>
      <c r="L131" s="299"/>
      <c r="M131" s="299"/>
      <c r="N131" s="299"/>
      <c r="O131" s="299"/>
      <c r="P131" s="299"/>
      <c r="Q131" s="299"/>
      <c r="R131" s="299"/>
      <c r="S131" s="299"/>
      <c r="T131" s="299"/>
    </row>
    <row r="132" spans="2:20" x14ac:dyDescent="0.3">
      <c r="B132" s="299"/>
      <c r="C132" s="299"/>
      <c r="D132" s="299"/>
      <c r="E132" s="299"/>
      <c r="F132" s="299"/>
      <c r="G132" s="299"/>
      <c r="H132" s="299"/>
      <c r="I132" s="299"/>
      <c r="J132" s="299"/>
      <c r="K132" s="299"/>
      <c r="L132" s="299"/>
      <c r="M132" s="299"/>
      <c r="N132" s="299"/>
      <c r="O132" s="299"/>
      <c r="P132" s="299"/>
      <c r="Q132" s="299"/>
      <c r="R132" s="299"/>
      <c r="S132" s="299"/>
      <c r="T132" s="299"/>
    </row>
  </sheetData>
  <mergeCells count="15">
    <mergeCell ref="B2:D2"/>
    <mergeCell ref="E2:L2"/>
    <mergeCell ref="M2:O2"/>
    <mergeCell ref="P2:T2"/>
    <mergeCell ref="B3:D3"/>
    <mergeCell ref="E3:L3"/>
    <mergeCell ref="M3:O3"/>
    <mergeCell ref="P3:T3"/>
    <mergeCell ref="B57:T57"/>
    <mergeCell ref="B58:T132"/>
    <mergeCell ref="B4:T4"/>
    <mergeCell ref="B5:T8"/>
    <mergeCell ref="B10:T12"/>
    <mergeCell ref="B14:T14"/>
    <mergeCell ref="B15:T55"/>
  </mergeCells>
  <phoneticPr fontId="45" type="noConversion"/>
  <pageMargins left="0.7" right="0.7" top="0.75" bottom="0.75" header="0.51180555555555496" footer="0.51180555555555496"/>
  <pageSetup paperSize="9" firstPageNumber="0"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B2:AY1226"/>
  <sheetViews>
    <sheetView topLeftCell="A19" zoomScale="85" zoomScaleNormal="85" workbookViewId="0">
      <pane ySplit="3" topLeftCell="A43" activePane="bottomLeft" state="frozen"/>
      <selection activeCell="A19" sqref="A19"/>
      <selection pane="bottomLeft" activeCell="V38" sqref="V38"/>
    </sheetView>
  </sheetViews>
  <sheetFormatPr defaultRowHeight="16.5" x14ac:dyDescent="0.3"/>
  <cols>
    <col min="1" max="1" width="3.625" customWidth="1"/>
    <col min="2" max="21" width="5.75" style="9" customWidth="1"/>
    <col min="22" max="46" width="5.75" customWidth="1"/>
    <col min="47" max="1025" width="8.875" customWidth="1"/>
  </cols>
  <sheetData>
    <row r="2" spans="2:21" s="11" customFormat="1" ht="45" customHeight="1" x14ac:dyDescent="0.3">
      <c r="B2" s="290" t="s">
        <v>0</v>
      </c>
      <c r="C2" s="290"/>
      <c r="D2" s="290"/>
      <c r="E2" s="290"/>
      <c r="F2" s="333" t="str">
        <f>'00_팀프로젝트_큰틀'!E2</f>
        <v>[디지털컨버전스] ICT융합 풀스택(자바/스프링) 개발자 양성과정A</v>
      </c>
      <c r="G2" s="333"/>
      <c r="H2" s="333"/>
      <c r="I2" s="333"/>
      <c r="J2" s="333"/>
      <c r="K2" s="333"/>
      <c r="L2" s="333"/>
      <c r="M2" s="333"/>
      <c r="N2" s="292" t="s">
        <v>2</v>
      </c>
      <c r="O2" s="292"/>
      <c r="P2" s="292"/>
      <c r="Q2" s="334" t="s">
        <v>60</v>
      </c>
      <c r="R2" s="334"/>
      <c r="S2" s="334"/>
      <c r="T2" s="334"/>
      <c r="U2" s="334"/>
    </row>
    <row r="3" spans="2:21" s="11" customFormat="1" ht="45" customHeight="1" x14ac:dyDescent="0.3">
      <c r="B3" s="294" t="s">
        <v>4</v>
      </c>
      <c r="C3" s="294"/>
      <c r="D3" s="294"/>
      <c r="E3" s="294"/>
      <c r="F3" s="335" t="str">
        <f>'00_팀프로젝트_큰틀'!E3</f>
        <v>2024-02-19~2024-08-01</v>
      </c>
      <c r="G3" s="335"/>
      <c r="H3" s="335"/>
      <c r="I3" s="335"/>
      <c r="J3" s="335"/>
      <c r="K3" s="335"/>
      <c r="L3" s="335"/>
      <c r="M3" s="335"/>
      <c r="N3" s="336">
        <v>44622</v>
      </c>
      <c r="O3" s="336"/>
      <c r="P3" s="336"/>
      <c r="Q3" s="337">
        <v>45398</v>
      </c>
      <c r="R3" s="337"/>
      <c r="S3" s="337"/>
      <c r="T3" s="337"/>
      <c r="U3" s="337"/>
    </row>
    <row r="4" spans="2:21" s="11" customFormat="1" ht="45" customHeight="1" x14ac:dyDescent="0.3">
      <c r="B4" s="338" t="s">
        <v>61</v>
      </c>
      <c r="C4" s="338"/>
      <c r="D4" s="338"/>
      <c r="E4" s="338"/>
      <c r="F4" s="338"/>
      <c r="G4" s="338"/>
      <c r="H4" s="338"/>
      <c r="I4" s="338"/>
      <c r="J4" s="338"/>
      <c r="K4" s="338"/>
      <c r="L4" s="338"/>
      <c r="M4" s="338"/>
      <c r="N4" s="338"/>
      <c r="O4" s="338"/>
      <c r="P4" s="338"/>
      <c r="Q4" s="338"/>
      <c r="R4" s="338"/>
      <c r="S4" s="338"/>
      <c r="T4" s="338"/>
      <c r="U4" s="338"/>
    </row>
    <row r="5" spans="2:21" s="11" customFormat="1" ht="45" customHeight="1" x14ac:dyDescent="0.3">
      <c r="B5" s="339" t="s">
        <v>119</v>
      </c>
      <c r="C5" s="339"/>
      <c r="D5" s="339"/>
      <c r="E5" s="339"/>
      <c r="F5" s="339"/>
      <c r="G5" s="339"/>
      <c r="H5" s="339"/>
      <c r="I5" s="339"/>
      <c r="J5" s="339"/>
      <c r="K5" s="339"/>
      <c r="L5" s="339"/>
      <c r="M5" s="339"/>
      <c r="N5" s="339"/>
      <c r="O5" s="339"/>
      <c r="P5" s="339"/>
      <c r="Q5" s="339"/>
      <c r="R5" s="339"/>
      <c r="S5" s="339"/>
      <c r="T5" s="339"/>
      <c r="U5" s="339"/>
    </row>
    <row r="6" spans="2:21" s="12" customFormat="1" ht="45" customHeight="1" x14ac:dyDescent="0.3">
      <c r="B6" s="339"/>
      <c r="C6" s="339"/>
      <c r="D6" s="339"/>
      <c r="E6" s="339"/>
      <c r="F6" s="339"/>
      <c r="G6" s="339"/>
      <c r="H6" s="339"/>
      <c r="I6" s="339"/>
      <c r="J6" s="339"/>
      <c r="K6" s="339"/>
      <c r="L6" s="339"/>
      <c r="M6" s="339"/>
      <c r="N6" s="339"/>
      <c r="O6" s="339"/>
      <c r="P6" s="339"/>
      <c r="Q6" s="339"/>
      <c r="R6" s="339"/>
      <c r="S6" s="339"/>
      <c r="T6" s="339"/>
      <c r="U6" s="339"/>
    </row>
    <row r="7" spans="2:21" s="12" customFormat="1" ht="45" customHeight="1" x14ac:dyDescent="0.3">
      <c r="B7" s="339"/>
      <c r="C7" s="339"/>
      <c r="D7" s="339"/>
      <c r="E7" s="339"/>
      <c r="F7" s="339"/>
      <c r="G7" s="339"/>
      <c r="H7" s="339"/>
      <c r="I7" s="339"/>
      <c r="J7" s="339"/>
      <c r="K7" s="339"/>
      <c r="L7" s="339"/>
      <c r="M7" s="339"/>
      <c r="N7" s="339"/>
      <c r="O7" s="339"/>
      <c r="P7" s="339"/>
      <c r="Q7" s="339"/>
      <c r="R7" s="339"/>
      <c r="S7" s="339"/>
      <c r="T7" s="339"/>
      <c r="U7" s="339"/>
    </row>
    <row r="9" spans="2:21" ht="45" customHeight="1" x14ac:dyDescent="0.3">
      <c r="B9" s="340" t="s">
        <v>120</v>
      </c>
      <c r="C9" s="340"/>
      <c r="D9" s="340"/>
      <c r="E9" s="340"/>
      <c r="F9" s="340"/>
      <c r="G9" s="340"/>
      <c r="H9" s="340"/>
      <c r="I9" s="340"/>
      <c r="J9" s="340"/>
      <c r="K9" s="340"/>
      <c r="L9" s="340"/>
      <c r="M9" s="340"/>
      <c r="N9" s="340"/>
      <c r="O9" s="340"/>
      <c r="P9" s="340"/>
      <c r="Q9" s="340"/>
      <c r="R9" s="340"/>
      <c r="S9" s="340"/>
      <c r="T9" s="340"/>
      <c r="U9" s="340"/>
    </row>
    <row r="10" spans="2:21" ht="45" customHeight="1" x14ac:dyDescent="0.3">
      <c r="B10" s="340"/>
      <c r="C10" s="340"/>
      <c r="D10" s="340"/>
      <c r="E10" s="340"/>
      <c r="F10" s="340"/>
      <c r="G10" s="340"/>
      <c r="H10" s="340"/>
      <c r="I10" s="340"/>
      <c r="J10" s="340"/>
      <c r="K10" s="340"/>
      <c r="L10" s="340"/>
      <c r="M10" s="340"/>
      <c r="N10" s="340"/>
      <c r="O10" s="340"/>
      <c r="P10" s="340"/>
      <c r="Q10" s="340"/>
      <c r="R10" s="340"/>
      <c r="S10" s="340"/>
      <c r="T10" s="340"/>
      <c r="U10" s="340"/>
    </row>
    <row r="11" spans="2:21" ht="17.25" customHeight="1" x14ac:dyDescent="0.3"/>
    <row r="12" spans="2:21" ht="45" customHeight="1" x14ac:dyDescent="0.3">
      <c r="B12" s="341" t="s">
        <v>121</v>
      </c>
      <c r="C12" s="341"/>
      <c r="D12" s="341"/>
      <c r="E12" s="341"/>
      <c r="F12" s="342" t="s">
        <v>64</v>
      </c>
      <c r="G12" s="342"/>
      <c r="H12" s="342"/>
      <c r="I12" s="342"/>
      <c r="J12" s="342"/>
      <c r="K12" s="342"/>
      <c r="L12" s="342"/>
      <c r="M12" s="342"/>
      <c r="N12" s="342"/>
      <c r="O12" s="342"/>
      <c r="P12" s="342"/>
      <c r="Q12" s="342"/>
      <c r="R12" s="342"/>
      <c r="S12" s="342"/>
      <c r="T12" s="342"/>
      <c r="U12" s="342"/>
    </row>
    <row r="13" spans="2:21" ht="45" customHeight="1" x14ac:dyDescent="0.3">
      <c r="B13" s="343" t="s">
        <v>122</v>
      </c>
      <c r="C13" s="343"/>
      <c r="D13" s="343"/>
      <c r="E13" s="343"/>
      <c r="F13" s="344" t="s">
        <v>123</v>
      </c>
      <c r="G13" s="344"/>
      <c r="H13" s="344"/>
      <c r="I13" s="344"/>
      <c r="J13" s="344"/>
      <c r="K13" s="344"/>
      <c r="L13" s="344"/>
      <c r="M13" s="344"/>
      <c r="N13" s="344"/>
      <c r="O13" s="344"/>
      <c r="P13" s="344"/>
      <c r="Q13" s="344"/>
      <c r="R13" s="344"/>
      <c r="S13" s="344"/>
      <c r="T13" s="344"/>
      <c r="U13" s="344"/>
    </row>
    <row r="14" spans="2:21" ht="45" customHeight="1" x14ac:dyDescent="0.3">
      <c r="B14" s="343"/>
      <c r="C14" s="343"/>
      <c r="D14" s="343"/>
      <c r="E14" s="343"/>
      <c r="F14" s="344"/>
      <c r="G14" s="344"/>
      <c r="H14" s="344"/>
      <c r="I14" s="344"/>
      <c r="J14" s="344"/>
      <c r="K14" s="344"/>
      <c r="L14" s="344"/>
      <c r="M14" s="344"/>
      <c r="N14" s="344"/>
      <c r="O14" s="344"/>
      <c r="P14" s="344"/>
      <c r="Q14" s="344"/>
      <c r="R14" s="344"/>
      <c r="S14" s="344"/>
      <c r="T14" s="344"/>
      <c r="U14" s="344"/>
    </row>
    <row r="15" spans="2:21" ht="45" customHeight="1" x14ac:dyDescent="0.3">
      <c r="B15" s="343"/>
      <c r="C15" s="343"/>
      <c r="D15" s="343"/>
      <c r="E15" s="343"/>
      <c r="F15" s="344"/>
      <c r="G15" s="344"/>
      <c r="H15" s="344"/>
      <c r="I15" s="344"/>
      <c r="J15" s="344"/>
      <c r="K15" s="344"/>
      <c r="L15" s="344"/>
      <c r="M15" s="344"/>
      <c r="N15" s="344"/>
      <c r="O15" s="344"/>
      <c r="P15" s="344"/>
      <c r="Q15" s="344"/>
      <c r="R15" s="344"/>
      <c r="S15" s="344"/>
      <c r="T15" s="344"/>
      <c r="U15" s="344"/>
    </row>
    <row r="16" spans="2:21" ht="45" customHeight="1" x14ac:dyDescent="0.3">
      <c r="B16" s="343"/>
      <c r="C16" s="343"/>
      <c r="D16" s="343"/>
      <c r="E16" s="343"/>
      <c r="F16" s="344"/>
      <c r="G16" s="344"/>
      <c r="H16" s="344"/>
      <c r="I16" s="344"/>
      <c r="J16" s="344"/>
      <c r="K16" s="344"/>
      <c r="L16" s="344"/>
      <c r="M16" s="344"/>
      <c r="N16" s="344"/>
      <c r="O16" s="344"/>
      <c r="P16" s="344"/>
      <c r="Q16" s="344"/>
      <c r="R16" s="344"/>
      <c r="S16" s="344"/>
      <c r="T16" s="344"/>
      <c r="U16" s="344"/>
    </row>
    <row r="17" spans="2:51" ht="45" customHeight="1" x14ac:dyDescent="0.3">
      <c r="B17" s="343" t="s">
        <v>124</v>
      </c>
      <c r="C17" s="343"/>
      <c r="D17" s="343"/>
      <c r="E17" s="343"/>
      <c r="F17" s="345" t="s">
        <v>125</v>
      </c>
      <c r="G17" s="345"/>
      <c r="H17" s="345"/>
      <c r="I17" s="345"/>
      <c r="J17" s="345"/>
      <c r="K17" s="345"/>
      <c r="L17" s="345"/>
      <c r="M17" s="345"/>
      <c r="N17" s="345"/>
      <c r="O17" s="345"/>
      <c r="P17" s="345"/>
      <c r="Q17" s="345"/>
      <c r="R17" s="345"/>
      <c r="S17" s="345"/>
      <c r="T17" s="345"/>
      <c r="U17" s="345"/>
    </row>
    <row r="18" spans="2:51" ht="45" customHeight="1" x14ac:dyDescent="0.3">
      <c r="B18" s="324" t="s">
        <v>126</v>
      </c>
      <c r="C18" s="324"/>
      <c r="D18" s="324"/>
      <c r="E18" s="324"/>
      <c r="F18" s="325" t="s">
        <v>127</v>
      </c>
      <c r="G18" s="325"/>
      <c r="H18" s="325"/>
      <c r="I18" s="325"/>
      <c r="J18" s="325"/>
      <c r="K18" s="325"/>
      <c r="L18" s="325"/>
      <c r="M18" s="325"/>
      <c r="N18" s="325"/>
      <c r="O18" s="325"/>
      <c r="P18" s="325"/>
      <c r="Q18" s="325"/>
      <c r="R18" s="325"/>
      <c r="S18" s="325"/>
      <c r="T18" s="325"/>
      <c r="U18" s="325"/>
    </row>
    <row r="19" spans="2:51" ht="30" customHeight="1" x14ac:dyDescent="0.3">
      <c r="X19" s="13"/>
    </row>
    <row r="20" spans="2:51" ht="45" customHeight="1" x14ac:dyDescent="0.3">
      <c r="B20" s="326" t="s">
        <v>128</v>
      </c>
      <c r="C20" s="326"/>
      <c r="D20" s="326"/>
      <c r="E20" s="326"/>
      <c r="F20" s="326"/>
      <c r="G20" s="327" t="s">
        <v>129</v>
      </c>
      <c r="H20" s="327"/>
      <c r="I20" s="327"/>
      <c r="J20" s="327"/>
      <c r="K20" s="327"/>
      <c r="L20" s="328" t="s">
        <v>130</v>
      </c>
      <c r="M20" s="328"/>
      <c r="N20" s="328"/>
      <c r="O20" s="328"/>
      <c r="P20" s="328"/>
      <c r="Q20" s="328"/>
      <c r="R20" s="328"/>
      <c r="S20" s="328"/>
      <c r="T20" s="328"/>
      <c r="U20" s="328"/>
      <c r="V20" s="328" t="s">
        <v>131</v>
      </c>
      <c r="W20" s="328"/>
      <c r="X20" s="328"/>
      <c r="Y20" s="328"/>
      <c r="Z20" s="328"/>
      <c r="AA20" s="328"/>
      <c r="AB20" s="328"/>
      <c r="AC20" s="328"/>
      <c r="AD20" s="328"/>
      <c r="AE20" s="328"/>
      <c r="AF20" s="329" t="s">
        <v>132</v>
      </c>
      <c r="AG20" s="329"/>
      <c r="AH20" s="329"/>
      <c r="AI20" s="329"/>
      <c r="AJ20" s="329"/>
      <c r="AK20" s="329"/>
      <c r="AL20" s="329"/>
      <c r="AM20" s="329"/>
      <c r="AN20" s="329"/>
      <c r="AO20" s="329"/>
      <c r="AP20" s="330" t="s">
        <v>133</v>
      </c>
      <c r="AQ20" s="330"/>
      <c r="AR20" s="330"/>
      <c r="AS20" s="330"/>
      <c r="AT20" s="330"/>
    </row>
    <row r="21" spans="2:51" ht="45" customHeight="1" x14ac:dyDescent="0.3">
      <c r="B21" s="326"/>
      <c r="C21" s="326"/>
      <c r="D21" s="326"/>
      <c r="E21" s="326"/>
      <c r="F21" s="326"/>
      <c r="G21" s="327"/>
      <c r="H21" s="327"/>
      <c r="I21" s="327"/>
      <c r="J21" s="327"/>
      <c r="K21" s="327"/>
      <c r="L21" s="331" t="s">
        <v>134</v>
      </c>
      <c r="M21" s="331"/>
      <c r="N21" s="331"/>
      <c r="O21" s="331"/>
      <c r="P21" s="331"/>
      <c r="Q21" s="331" t="s">
        <v>135</v>
      </c>
      <c r="R21" s="331"/>
      <c r="S21" s="331"/>
      <c r="T21" s="331"/>
      <c r="U21" s="331"/>
      <c r="V21" s="331" t="s">
        <v>134</v>
      </c>
      <c r="W21" s="331"/>
      <c r="X21" s="331"/>
      <c r="Y21" s="331"/>
      <c r="Z21" s="331"/>
      <c r="AA21" s="331" t="s">
        <v>135</v>
      </c>
      <c r="AB21" s="331"/>
      <c r="AC21" s="331"/>
      <c r="AD21" s="331"/>
      <c r="AE21" s="331"/>
      <c r="AF21" s="332" t="s">
        <v>134</v>
      </c>
      <c r="AG21" s="332"/>
      <c r="AH21" s="332"/>
      <c r="AI21" s="332"/>
      <c r="AJ21" s="332"/>
      <c r="AK21" s="332" t="s">
        <v>135</v>
      </c>
      <c r="AL21" s="332"/>
      <c r="AM21" s="332"/>
      <c r="AN21" s="332"/>
      <c r="AO21" s="332"/>
      <c r="AP21" s="330"/>
      <c r="AQ21" s="330"/>
      <c r="AR21" s="330"/>
      <c r="AS21" s="330"/>
      <c r="AT21" s="330"/>
    </row>
    <row r="22" spans="2:51" ht="45" customHeight="1" x14ac:dyDescent="0.3">
      <c r="B22" s="305" t="s">
        <v>136</v>
      </c>
      <c r="C22" s="305"/>
      <c r="D22" s="305"/>
      <c r="E22" s="305"/>
      <c r="F22" s="305"/>
      <c r="G22" s="306" t="s">
        <v>136</v>
      </c>
      <c r="H22" s="306"/>
      <c r="I22" s="306"/>
      <c r="J22" s="306"/>
      <c r="K22" s="306"/>
      <c r="L22" s="306" t="s">
        <v>136</v>
      </c>
      <c r="M22" s="306"/>
      <c r="N22" s="306"/>
      <c r="O22" s="306"/>
      <c r="P22" s="306"/>
      <c r="Q22" s="306" t="s">
        <v>136</v>
      </c>
      <c r="R22" s="306"/>
      <c r="S22" s="306"/>
      <c r="T22" s="306"/>
      <c r="U22" s="306"/>
      <c r="V22" s="306" t="s">
        <v>136</v>
      </c>
      <c r="W22" s="306"/>
      <c r="X22" s="306"/>
      <c r="Y22" s="306"/>
      <c r="Z22" s="306"/>
      <c r="AA22" s="306" t="s">
        <v>136</v>
      </c>
      <c r="AB22" s="306"/>
      <c r="AC22" s="306"/>
      <c r="AD22" s="306"/>
      <c r="AE22" s="306"/>
      <c r="AF22" s="307" t="s">
        <v>136</v>
      </c>
      <c r="AG22" s="307"/>
      <c r="AH22" s="307"/>
      <c r="AI22" s="307"/>
      <c r="AJ22" s="307"/>
      <c r="AK22" s="307" t="s">
        <v>136</v>
      </c>
      <c r="AL22" s="307"/>
      <c r="AM22" s="307"/>
      <c r="AN22" s="307"/>
      <c r="AO22" s="307"/>
      <c r="AP22" s="308" t="s">
        <v>136</v>
      </c>
      <c r="AQ22" s="308"/>
      <c r="AR22" s="308"/>
      <c r="AS22" s="308"/>
      <c r="AT22" s="308"/>
      <c r="AV22" s="14"/>
      <c r="AW22" s="14"/>
      <c r="AX22" s="321" t="s">
        <v>137</v>
      </c>
      <c r="AY22" s="321"/>
    </row>
    <row r="23" spans="2:51" ht="45" customHeight="1" x14ac:dyDescent="0.3">
      <c r="B23" s="319" t="s">
        <v>138</v>
      </c>
      <c r="C23" s="319"/>
      <c r="D23" s="319"/>
      <c r="E23" s="319"/>
      <c r="F23" s="319"/>
      <c r="G23" s="272" t="s">
        <v>139</v>
      </c>
      <c r="H23" s="272"/>
      <c r="I23" s="272"/>
      <c r="J23" s="272"/>
      <c r="K23" s="272"/>
      <c r="L23" s="272" t="s">
        <v>140</v>
      </c>
      <c r="M23" s="272"/>
      <c r="N23" s="272"/>
      <c r="O23" s="272"/>
      <c r="P23" s="272"/>
      <c r="Q23" s="272" t="s">
        <v>141</v>
      </c>
      <c r="R23" s="272"/>
      <c r="S23" s="272"/>
      <c r="T23" s="272"/>
      <c r="U23" s="272"/>
      <c r="V23" s="272" t="s">
        <v>142</v>
      </c>
      <c r="W23" s="272"/>
      <c r="X23" s="272"/>
      <c r="Y23" s="272"/>
      <c r="Z23" s="272"/>
      <c r="AA23" s="272" t="s">
        <v>143</v>
      </c>
      <c r="AB23" s="272"/>
      <c r="AC23" s="272"/>
      <c r="AD23" s="272"/>
      <c r="AE23" s="272"/>
      <c r="AF23" s="247" t="s">
        <v>144</v>
      </c>
      <c r="AG23" s="247"/>
      <c r="AH23" s="247"/>
      <c r="AI23" s="247"/>
      <c r="AJ23" s="247"/>
      <c r="AK23" s="247" t="s">
        <v>145</v>
      </c>
      <c r="AL23" s="247"/>
      <c r="AM23" s="247"/>
      <c r="AN23" s="247"/>
      <c r="AO23" s="247"/>
      <c r="AP23" s="313" t="s">
        <v>145</v>
      </c>
      <c r="AQ23" s="313"/>
      <c r="AR23" s="313"/>
      <c r="AS23" s="313"/>
      <c r="AT23" s="313"/>
      <c r="AV23" s="16"/>
      <c r="AW23" s="16"/>
      <c r="AX23" s="321" t="s">
        <v>146</v>
      </c>
      <c r="AY23" s="321"/>
    </row>
    <row r="24" spans="2:51" ht="45" customHeight="1" x14ac:dyDescent="0.3">
      <c r="B24" s="314" t="s">
        <v>147</v>
      </c>
      <c r="C24" s="314"/>
      <c r="D24" s="314"/>
      <c r="E24" s="314"/>
      <c r="F24" s="314"/>
      <c r="G24" s="272" t="s">
        <v>147</v>
      </c>
      <c r="H24" s="272"/>
      <c r="I24" s="272"/>
      <c r="J24" s="272"/>
      <c r="K24" s="272"/>
      <c r="L24" s="272" t="s">
        <v>147</v>
      </c>
      <c r="M24" s="272"/>
      <c r="N24" s="272"/>
      <c r="O24" s="272"/>
      <c r="P24" s="272"/>
      <c r="Q24" s="272" t="s">
        <v>147</v>
      </c>
      <c r="R24" s="272"/>
      <c r="S24" s="272"/>
      <c r="T24" s="272"/>
      <c r="U24" s="272"/>
      <c r="V24" s="272" t="s">
        <v>147</v>
      </c>
      <c r="W24" s="272"/>
      <c r="X24" s="272"/>
      <c r="Y24" s="272"/>
      <c r="Z24" s="272"/>
      <c r="AA24" s="272" t="s">
        <v>147</v>
      </c>
      <c r="AB24" s="272"/>
      <c r="AC24" s="272"/>
      <c r="AD24" s="272"/>
      <c r="AE24" s="272"/>
      <c r="AF24" s="247" t="s">
        <v>147</v>
      </c>
      <c r="AG24" s="247"/>
      <c r="AH24" s="247"/>
      <c r="AI24" s="247"/>
      <c r="AJ24" s="247"/>
      <c r="AK24" s="247" t="s">
        <v>147</v>
      </c>
      <c r="AL24" s="247"/>
      <c r="AM24" s="247"/>
      <c r="AN24" s="247"/>
      <c r="AO24" s="247"/>
      <c r="AP24" s="313" t="s">
        <v>147</v>
      </c>
      <c r="AQ24" s="313"/>
      <c r="AR24" s="313"/>
      <c r="AS24" s="313"/>
      <c r="AT24" s="313"/>
      <c r="AV24" s="17"/>
      <c r="AW24" s="17"/>
      <c r="AX24" s="321" t="s">
        <v>148</v>
      </c>
      <c r="AY24" s="321"/>
    </row>
    <row r="25" spans="2:51" ht="45" customHeight="1" x14ac:dyDescent="0.3">
      <c r="B25" s="314" t="s">
        <v>149</v>
      </c>
      <c r="C25" s="314"/>
      <c r="D25" s="314"/>
      <c r="E25" s="314"/>
      <c r="F25" s="314"/>
      <c r="G25" s="272" t="s">
        <v>149</v>
      </c>
      <c r="H25" s="272"/>
      <c r="I25" s="272"/>
      <c r="J25" s="272"/>
      <c r="K25" s="272"/>
      <c r="L25" s="272" t="s">
        <v>149</v>
      </c>
      <c r="M25" s="272"/>
      <c r="N25" s="272"/>
      <c r="O25" s="272"/>
      <c r="P25" s="272"/>
      <c r="Q25" s="272" t="s">
        <v>149</v>
      </c>
      <c r="R25" s="272"/>
      <c r="S25" s="272"/>
      <c r="T25" s="272"/>
      <c r="U25" s="272"/>
      <c r="V25" s="272" t="s">
        <v>149</v>
      </c>
      <c r="W25" s="272"/>
      <c r="X25" s="272"/>
      <c r="Y25" s="272"/>
      <c r="Z25" s="272"/>
      <c r="AA25" s="272" t="s">
        <v>149</v>
      </c>
      <c r="AB25" s="272"/>
      <c r="AC25" s="272"/>
      <c r="AD25" s="272"/>
      <c r="AE25" s="272"/>
      <c r="AF25" s="247" t="s">
        <v>149</v>
      </c>
      <c r="AG25" s="247"/>
      <c r="AH25" s="247"/>
      <c r="AI25" s="247"/>
      <c r="AJ25" s="247"/>
      <c r="AK25" s="247" t="s">
        <v>149</v>
      </c>
      <c r="AL25" s="247"/>
      <c r="AM25" s="247"/>
      <c r="AN25" s="247"/>
      <c r="AO25" s="247"/>
      <c r="AP25" s="313" t="s">
        <v>149</v>
      </c>
      <c r="AQ25" s="313"/>
      <c r="AR25" s="313"/>
      <c r="AS25" s="313"/>
      <c r="AT25" s="313"/>
      <c r="AV25" s="18"/>
      <c r="AW25" s="18"/>
      <c r="AX25" s="321" t="s">
        <v>150</v>
      </c>
      <c r="AY25" s="321"/>
    </row>
    <row r="26" spans="2:51" ht="45" customHeight="1" x14ac:dyDescent="0.3">
      <c r="B26" s="314" t="s">
        <v>151</v>
      </c>
      <c r="C26" s="314"/>
      <c r="D26" s="314"/>
      <c r="E26" s="314"/>
      <c r="F26" s="314"/>
      <c r="G26" s="272" t="s">
        <v>151</v>
      </c>
      <c r="H26" s="272"/>
      <c r="I26" s="272"/>
      <c r="J26" s="272"/>
      <c r="K26" s="272"/>
      <c r="L26" s="272" t="s">
        <v>151</v>
      </c>
      <c r="M26" s="272"/>
      <c r="N26" s="272"/>
      <c r="O26" s="272"/>
      <c r="P26" s="272"/>
      <c r="Q26" s="272" t="s">
        <v>151</v>
      </c>
      <c r="R26" s="272"/>
      <c r="S26" s="272"/>
      <c r="T26" s="272"/>
      <c r="U26" s="272"/>
      <c r="V26" s="272" t="s">
        <v>151</v>
      </c>
      <c r="W26" s="272"/>
      <c r="X26" s="272"/>
      <c r="Y26" s="272"/>
      <c r="Z26" s="272"/>
      <c r="AA26" s="272" t="s">
        <v>151</v>
      </c>
      <c r="AB26" s="272"/>
      <c r="AC26" s="272"/>
      <c r="AD26" s="272"/>
      <c r="AE26" s="272"/>
      <c r="AF26" s="247" t="s">
        <v>151</v>
      </c>
      <c r="AG26" s="247"/>
      <c r="AH26" s="247"/>
      <c r="AI26" s="247"/>
      <c r="AJ26" s="247"/>
      <c r="AK26" s="247" t="s">
        <v>151</v>
      </c>
      <c r="AL26" s="247"/>
      <c r="AM26" s="247"/>
      <c r="AN26" s="247"/>
      <c r="AO26" s="247"/>
      <c r="AP26" s="313" t="s">
        <v>151</v>
      </c>
      <c r="AQ26" s="313"/>
      <c r="AR26" s="313"/>
      <c r="AS26" s="313"/>
      <c r="AT26" s="313"/>
    </row>
    <row r="27" spans="2:51" ht="45" customHeight="1" x14ac:dyDescent="0.3">
      <c r="B27" s="319" t="s">
        <v>152</v>
      </c>
      <c r="C27" s="319"/>
      <c r="D27" s="319"/>
      <c r="E27" s="319"/>
      <c r="F27" s="319"/>
      <c r="G27" s="279" t="s">
        <v>152</v>
      </c>
      <c r="H27" s="279"/>
      <c r="I27" s="279"/>
      <c r="J27" s="279"/>
      <c r="K27" s="279"/>
      <c r="L27" s="279" t="s">
        <v>152</v>
      </c>
      <c r="M27" s="279"/>
      <c r="N27" s="279"/>
      <c r="O27" s="279"/>
      <c r="P27" s="279"/>
      <c r="Q27" s="279"/>
      <c r="R27" s="279"/>
      <c r="S27" s="279"/>
      <c r="T27" s="279"/>
      <c r="U27" s="279"/>
      <c r="V27" s="279" t="s">
        <v>152</v>
      </c>
      <c r="W27" s="279"/>
      <c r="X27" s="279"/>
      <c r="Y27" s="279"/>
      <c r="Z27" s="279"/>
      <c r="AA27" s="279"/>
      <c r="AB27" s="279"/>
      <c r="AC27" s="279"/>
      <c r="AD27" s="279"/>
      <c r="AE27" s="279"/>
      <c r="AF27" s="250" t="s">
        <v>152</v>
      </c>
      <c r="AG27" s="250"/>
      <c r="AH27" s="250"/>
      <c r="AI27" s="250"/>
      <c r="AJ27" s="250"/>
      <c r="AK27" s="247"/>
      <c r="AL27" s="247"/>
      <c r="AM27" s="247"/>
      <c r="AN27" s="247"/>
      <c r="AO27" s="247"/>
      <c r="AP27" s="313"/>
      <c r="AQ27" s="313"/>
      <c r="AR27" s="313"/>
      <c r="AS27" s="313"/>
      <c r="AT27" s="313"/>
    </row>
    <row r="28" spans="2:51" ht="45" customHeight="1" x14ac:dyDescent="0.3">
      <c r="B28" s="314" t="s">
        <v>153</v>
      </c>
      <c r="C28" s="314"/>
      <c r="D28" s="314"/>
      <c r="E28" s="314"/>
      <c r="F28" s="314"/>
      <c r="G28" s="272" t="s">
        <v>154</v>
      </c>
      <c r="H28" s="272"/>
      <c r="I28" s="272"/>
      <c r="J28" s="272"/>
      <c r="K28" s="272"/>
      <c r="L28" s="272"/>
      <c r="M28" s="272"/>
      <c r="N28" s="272"/>
      <c r="O28" s="272"/>
      <c r="P28" s="272"/>
      <c r="Q28" s="272"/>
      <c r="R28" s="272"/>
      <c r="S28" s="272"/>
      <c r="T28" s="272"/>
      <c r="U28" s="272"/>
      <c r="V28" s="272"/>
      <c r="W28" s="272"/>
      <c r="X28" s="272"/>
      <c r="Y28" s="272"/>
      <c r="Z28" s="272"/>
      <c r="AA28" s="279"/>
      <c r="AB28" s="279"/>
      <c r="AC28" s="279"/>
      <c r="AD28" s="279"/>
      <c r="AE28" s="279"/>
      <c r="AF28" s="247"/>
      <c r="AG28" s="247"/>
      <c r="AH28" s="247"/>
      <c r="AI28" s="247"/>
      <c r="AJ28" s="247"/>
      <c r="AK28" s="247"/>
      <c r="AL28" s="247"/>
      <c r="AM28" s="247"/>
      <c r="AN28" s="247"/>
      <c r="AO28" s="247"/>
      <c r="AP28" s="313"/>
      <c r="AQ28" s="313"/>
      <c r="AR28" s="313"/>
      <c r="AS28" s="313"/>
      <c r="AT28" s="313"/>
    </row>
    <row r="29" spans="2:51" ht="45" customHeight="1" x14ac:dyDescent="0.3">
      <c r="B29" s="319" t="s">
        <v>155</v>
      </c>
      <c r="C29" s="319"/>
      <c r="D29" s="319"/>
      <c r="E29" s="319"/>
      <c r="F29" s="319"/>
      <c r="G29" s="279" t="s">
        <v>155</v>
      </c>
      <c r="H29" s="279"/>
      <c r="I29" s="279"/>
      <c r="J29" s="279"/>
      <c r="K29" s="279"/>
      <c r="L29" s="279" t="s">
        <v>155</v>
      </c>
      <c r="M29" s="279"/>
      <c r="N29" s="279"/>
      <c r="O29" s="279"/>
      <c r="P29" s="279"/>
      <c r="Q29" s="279"/>
      <c r="R29" s="279"/>
      <c r="S29" s="279"/>
      <c r="T29" s="279"/>
      <c r="U29" s="279"/>
      <c r="V29" s="279" t="s">
        <v>155</v>
      </c>
      <c r="W29" s="279"/>
      <c r="X29" s="279"/>
      <c r="Y29" s="279"/>
      <c r="Z29" s="279"/>
      <c r="AA29" s="279"/>
      <c r="AB29" s="279"/>
      <c r="AC29" s="279"/>
      <c r="AD29" s="279"/>
      <c r="AE29" s="279"/>
      <c r="AF29" s="279" t="s">
        <v>155</v>
      </c>
      <c r="AG29" s="279"/>
      <c r="AH29" s="279"/>
      <c r="AI29" s="279"/>
      <c r="AJ29" s="279"/>
      <c r="AK29" s="250"/>
      <c r="AL29" s="250"/>
      <c r="AM29" s="250"/>
      <c r="AN29" s="250"/>
      <c r="AO29" s="250"/>
      <c r="AP29" s="313"/>
      <c r="AQ29" s="313"/>
      <c r="AR29" s="313"/>
      <c r="AS29" s="313"/>
      <c r="AT29" s="313"/>
    </row>
    <row r="30" spans="2:51" ht="45" customHeight="1" x14ac:dyDescent="0.3">
      <c r="B30" s="314"/>
      <c r="C30" s="314"/>
      <c r="D30" s="314"/>
      <c r="E30" s="314"/>
      <c r="F30" s="314"/>
      <c r="G30" s="272"/>
      <c r="H30" s="272"/>
      <c r="I30" s="272"/>
      <c r="J30" s="272"/>
      <c r="K30" s="272"/>
      <c r="L30" s="272"/>
      <c r="M30" s="272"/>
      <c r="N30" s="272"/>
      <c r="O30" s="272"/>
      <c r="P30" s="272"/>
      <c r="Q30" s="272"/>
      <c r="R30" s="272"/>
      <c r="S30" s="272"/>
      <c r="T30" s="272"/>
      <c r="U30" s="272"/>
      <c r="V30" s="272"/>
      <c r="W30" s="272"/>
      <c r="X30" s="272"/>
      <c r="Y30" s="272"/>
      <c r="Z30" s="272"/>
      <c r="AA30" s="272"/>
      <c r="AB30" s="272"/>
      <c r="AC30" s="272"/>
      <c r="AD30" s="272"/>
      <c r="AE30" s="272"/>
      <c r="AF30" s="247"/>
      <c r="AG30" s="247"/>
      <c r="AH30" s="247"/>
      <c r="AI30" s="247"/>
      <c r="AJ30" s="247"/>
      <c r="AK30" s="247"/>
      <c r="AL30" s="247"/>
      <c r="AM30" s="247"/>
      <c r="AN30" s="247"/>
      <c r="AO30" s="247"/>
      <c r="AP30" s="313"/>
      <c r="AQ30" s="313"/>
      <c r="AR30" s="313"/>
      <c r="AS30" s="313"/>
      <c r="AT30" s="313"/>
    </row>
    <row r="31" spans="2:51" ht="45" customHeight="1" x14ac:dyDescent="0.3">
      <c r="B31" s="315" t="s">
        <v>156</v>
      </c>
      <c r="C31" s="315"/>
      <c r="D31" s="315"/>
      <c r="E31" s="315"/>
      <c r="F31" s="315"/>
      <c r="G31" s="316" t="s">
        <v>156</v>
      </c>
      <c r="H31" s="316"/>
      <c r="I31" s="316"/>
      <c r="J31" s="316"/>
      <c r="K31" s="316"/>
      <c r="L31" s="316" t="s">
        <v>156</v>
      </c>
      <c r="M31" s="316"/>
      <c r="N31" s="316"/>
      <c r="O31" s="316"/>
      <c r="P31" s="316"/>
      <c r="Q31" s="316" t="s">
        <v>156</v>
      </c>
      <c r="R31" s="316"/>
      <c r="S31" s="316"/>
      <c r="T31" s="316"/>
      <c r="U31" s="316"/>
      <c r="V31" s="316" t="s">
        <v>156</v>
      </c>
      <c r="W31" s="316"/>
      <c r="X31" s="316"/>
      <c r="Y31" s="316"/>
      <c r="Z31" s="316"/>
      <c r="AA31" s="316" t="s">
        <v>156</v>
      </c>
      <c r="AB31" s="316"/>
      <c r="AC31" s="316"/>
      <c r="AD31" s="316"/>
      <c r="AE31" s="316"/>
      <c r="AF31" s="316" t="s">
        <v>156</v>
      </c>
      <c r="AG31" s="316"/>
      <c r="AH31" s="316"/>
      <c r="AI31" s="316"/>
      <c r="AJ31" s="316"/>
      <c r="AK31" s="316" t="s">
        <v>156</v>
      </c>
      <c r="AL31" s="316"/>
      <c r="AM31" s="316"/>
      <c r="AN31" s="316"/>
      <c r="AO31" s="316"/>
      <c r="AP31" s="322" t="s">
        <v>156</v>
      </c>
      <c r="AQ31" s="322"/>
      <c r="AR31" s="322"/>
      <c r="AS31" s="322"/>
      <c r="AT31" s="322"/>
    </row>
    <row r="32" spans="2:51" ht="45" customHeight="1" x14ac:dyDescent="0.3">
      <c r="B32" s="319" t="s">
        <v>157</v>
      </c>
      <c r="C32" s="319"/>
      <c r="D32" s="319"/>
      <c r="E32" s="319"/>
      <c r="F32" s="319"/>
      <c r="G32" s="279" t="s">
        <v>157</v>
      </c>
      <c r="H32" s="279"/>
      <c r="I32" s="279"/>
      <c r="J32" s="279"/>
      <c r="K32" s="279"/>
      <c r="L32" s="279" t="s">
        <v>157</v>
      </c>
      <c r="M32" s="279"/>
      <c r="N32" s="279"/>
      <c r="O32" s="279"/>
      <c r="P32" s="279"/>
      <c r="Q32" s="279" t="s">
        <v>157</v>
      </c>
      <c r="R32" s="279"/>
      <c r="S32" s="279"/>
      <c r="T32" s="279"/>
      <c r="U32" s="279"/>
      <c r="V32" s="279" t="s">
        <v>157</v>
      </c>
      <c r="W32" s="279"/>
      <c r="X32" s="279"/>
      <c r="Y32" s="279"/>
      <c r="Z32" s="279"/>
      <c r="AA32" s="279" t="s">
        <v>157</v>
      </c>
      <c r="AB32" s="279"/>
      <c r="AC32" s="279"/>
      <c r="AD32" s="279"/>
      <c r="AE32" s="279"/>
      <c r="AF32" s="250" t="s">
        <v>157</v>
      </c>
      <c r="AG32" s="250"/>
      <c r="AH32" s="250"/>
      <c r="AI32" s="250"/>
      <c r="AJ32" s="250"/>
      <c r="AK32" s="250" t="s">
        <v>157</v>
      </c>
      <c r="AL32" s="250"/>
      <c r="AM32" s="250"/>
      <c r="AN32" s="250"/>
      <c r="AO32" s="250"/>
      <c r="AP32" s="320" t="s">
        <v>157</v>
      </c>
      <c r="AQ32" s="320"/>
      <c r="AR32" s="320"/>
      <c r="AS32" s="320"/>
      <c r="AT32" s="320"/>
    </row>
    <row r="33" spans="2:46" ht="45" customHeight="1" x14ac:dyDescent="0.3">
      <c r="B33" s="314" t="s">
        <v>158</v>
      </c>
      <c r="C33" s="314"/>
      <c r="D33" s="314"/>
      <c r="E33" s="314"/>
      <c r="F33" s="314"/>
      <c r="G33" s="272"/>
      <c r="H33" s="272"/>
      <c r="I33" s="272"/>
      <c r="J33" s="272"/>
      <c r="K33" s="272"/>
      <c r="L33" s="272"/>
      <c r="M33" s="272"/>
      <c r="N33" s="272"/>
      <c r="O33" s="272"/>
      <c r="P33" s="272"/>
      <c r="Q33" s="272" t="s">
        <v>158</v>
      </c>
      <c r="R33" s="272"/>
      <c r="S33" s="272"/>
      <c r="T33" s="272"/>
      <c r="U33" s="272"/>
      <c r="V33" s="272"/>
      <c r="W33" s="272"/>
      <c r="X33" s="272"/>
      <c r="Y33" s="272"/>
      <c r="Z33" s="272"/>
      <c r="AA33" s="272" t="s">
        <v>158</v>
      </c>
      <c r="AB33" s="272"/>
      <c r="AC33" s="272"/>
      <c r="AD33" s="272"/>
      <c r="AE33" s="272"/>
      <c r="AF33" s="272"/>
      <c r="AG33" s="272"/>
      <c r="AH33" s="272"/>
      <c r="AI33" s="272"/>
      <c r="AJ33" s="272"/>
      <c r="AK33" s="272" t="s">
        <v>158</v>
      </c>
      <c r="AL33" s="272"/>
      <c r="AM33" s="272"/>
      <c r="AN33" s="272"/>
      <c r="AO33" s="272"/>
      <c r="AP33" s="323" t="s">
        <v>158</v>
      </c>
      <c r="AQ33" s="323"/>
      <c r="AR33" s="323"/>
      <c r="AS33" s="323"/>
      <c r="AT33" s="323"/>
    </row>
    <row r="34" spans="2:46" ht="45" customHeight="1" x14ac:dyDescent="0.3">
      <c r="B34" s="314" t="s">
        <v>159</v>
      </c>
      <c r="C34" s="314"/>
      <c r="D34" s="314"/>
      <c r="E34" s="314"/>
      <c r="F34" s="314"/>
      <c r="G34" s="272"/>
      <c r="H34" s="272"/>
      <c r="I34" s="272"/>
      <c r="J34" s="272"/>
      <c r="K34" s="272"/>
      <c r="L34" s="272"/>
      <c r="M34" s="272"/>
      <c r="N34" s="272"/>
      <c r="O34" s="272"/>
      <c r="P34" s="272"/>
      <c r="Q34" s="272" t="s">
        <v>160</v>
      </c>
      <c r="R34" s="272"/>
      <c r="S34" s="272"/>
      <c r="T34" s="272"/>
      <c r="U34" s="272"/>
      <c r="V34" s="272"/>
      <c r="W34" s="272"/>
      <c r="X34" s="272"/>
      <c r="Y34" s="272"/>
      <c r="Z34" s="272"/>
      <c r="AA34" s="272" t="s">
        <v>160</v>
      </c>
      <c r="AB34" s="272"/>
      <c r="AC34" s="272"/>
      <c r="AD34" s="272"/>
      <c r="AE34" s="272"/>
      <c r="AF34" s="272"/>
      <c r="AG34" s="272"/>
      <c r="AH34" s="272"/>
      <c r="AI34" s="272"/>
      <c r="AJ34" s="272"/>
      <c r="AK34" s="272" t="s">
        <v>160</v>
      </c>
      <c r="AL34" s="272"/>
      <c r="AM34" s="272"/>
      <c r="AN34" s="272"/>
      <c r="AO34" s="272"/>
      <c r="AP34" s="323" t="s">
        <v>160</v>
      </c>
      <c r="AQ34" s="323"/>
      <c r="AR34" s="323"/>
      <c r="AS34" s="323"/>
      <c r="AT34" s="323"/>
    </row>
    <row r="35" spans="2:46" ht="45" customHeight="1" x14ac:dyDescent="0.3">
      <c r="B35" s="314" t="s">
        <v>161</v>
      </c>
      <c r="C35" s="314"/>
      <c r="D35" s="314"/>
      <c r="E35" s="314"/>
      <c r="F35" s="314"/>
      <c r="G35" s="272"/>
      <c r="H35" s="272"/>
      <c r="I35" s="272"/>
      <c r="J35" s="272"/>
      <c r="K35" s="272"/>
      <c r="L35" s="272"/>
      <c r="M35" s="272"/>
      <c r="N35" s="272"/>
      <c r="O35" s="272"/>
      <c r="P35" s="272"/>
      <c r="Q35" s="272" t="s">
        <v>162</v>
      </c>
      <c r="R35" s="272"/>
      <c r="S35" s="272"/>
      <c r="T35" s="272"/>
      <c r="U35" s="272"/>
      <c r="V35" s="272"/>
      <c r="W35" s="272"/>
      <c r="X35" s="272"/>
      <c r="Y35" s="272"/>
      <c r="Z35" s="272"/>
      <c r="AA35" s="272" t="s">
        <v>162</v>
      </c>
      <c r="AB35" s="272"/>
      <c r="AC35" s="272"/>
      <c r="AD35" s="272"/>
      <c r="AE35" s="272"/>
      <c r="AF35" s="272"/>
      <c r="AG35" s="272"/>
      <c r="AH35" s="272"/>
      <c r="AI35" s="272"/>
      <c r="AJ35" s="272"/>
      <c r="AK35" s="272" t="s">
        <v>162</v>
      </c>
      <c r="AL35" s="272"/>
      <c r="AM35" s="272"/>
      <c r="AN35" s="272"/>
      <c r="AO35" s="272"/>
      <c r="AP35" s="323" t="s">
        <v>162</v>
      </c>
      <c r="AQ35" s="323"/>
      <c r="AR35" s="323"/>
      <c r="AS35" s="323"/>
      <c r="AT35" s="323"/>
    </row>
    <row r="36" spans="2:46" ht="45" customHeight="1" x14ac:dyDescent="0.3">
      <c r="B36" s="314"/>
      <c r="C36" s="314"/>
      <c r="D36" s="314"/>
      <c r="E36" s="314"/>
      <c r="F36" s="314"/>
      <c r="G36" s="272"/>
      <c r="H36" s="272"/>
      <c r="I36" s="272"/>
      <c r="J36" s="272"/>
      <c r="K36" s="272"/>
      <c r="L36" s="272"/>
      <c r="M36" s="272"/>
      <c r="N36" s="272"/>
      <c r="O36" s="272"/>
      <c r="P36" s="272"/>
      <c r="Q36" s="272"/>
      <c r="R36" s="272"/>
      <c r="S36" s="272"/>
      <c r="T36" s="272"/>
      <c r="U36" s="272"/>
      <c r="V36" s="272"/>
      <c r="W36" s="272"/>
      <c r="X36" s="272"/>
      <c r="Y36" s="272"/>
      <c r="Z36" s="272"/>
      <c r="AA36" s="272"/>
      <c r="AB36" s="272"/>
      <c r="AC36" s="272"/>
      <c r="AD36" s="272"/>
      <c r="AE36" s="272"/>
      <c r="AF36" s="247"/>
      <c r="AG36" s="247"/>
      <c r="AH36" s="247"/>
      <c r="AI36" s="247"/>
      <c r="AJ36" s="247"/>
      <c r="AK36" s="247"/>
      <c r="AL36" s="247"/>
      <c r="AM36" s="247"/>
      <c r="AN36" s="247"/>
      <c r="AO36" s="247"/>
      <c r="AP36" s="313"/>
      <c r="AQ36" s="313"/>
      <c r="AR36" s="313"/>
      <c r="AS36" s="313"/>
      <c r="AT36" s="313"/>
    </row>
    <row r="37" spans="2:46" ht="45" customHeight="1" x14ac:dyDescent="0.3">
      <c r="B37" s="315" t="s">
        <v>163</v>
      </c>
      <c r="C37" s="315"/>
      <c r="D37" s="315"/>
      <c r="E37" s="315"/>
      <c r="F37" s="315"/>
      <c r="G37" s="316" t="s">
        <v>163</v>
      </c>
      <c r="H37" s="316"/>
      <c r="I37" s="316"/>
      <c r="J37" s="316"/>
      <c r="K37" s="316"/>
      <c r="L37" s="316" t="s">
        <v>163</v>
      </c>
      <c r="M37" s="316"/>
      <c r="N37" s="316"/>
      <c r="O37" s="316"/>
      <c r="P37" s="316"/>
      <c r="Q37" s="316" t="s">
        <v>163</v>
      </c>
      <c r="R37" s="316"/>
      <c r="S37" s="316"/>
      <c r="T37" s="316"/>
      <c r="U37" s="316"/>
      <c r="V37" s="316" t="s">
        <v>163</v>
      </c>
      <c r="W37" s="316"/>
      <c r="X37" s="316"/>
      <c r="Y37" s="316"/>
      <c r="Z37" s="316"/>
      <c r="AA37" s="316" t="s">
        <v>163</v>
      </c>
      <c r="AB37" s="316"/>
      <c r="AC37" s="316"/>
      <c r="AD37" s="316"/>
      <c r="AE37" s="316"/>
      <c r="AF37" s="316" t="s">
        <v>163</v>
      </c>
      <c r="AG37" s="316"/>
      <c r="AH37" s="316"/>
      <c r="AI37" s="316"/>
      <c r="AJ37" s="316"/>
      <c r="AK37" s="316" t="s">
        <v>163</v>
      </c>
      <c r="AL37" s="316"/>
      <c r="AM37" s="316"/>
      <c r="AN37" s="316"/>
      <c r="AO37" s="316"/>
      <c r="AP37" s="322" t="s">
        <v>163</v>
      </c>
      <c r="AQ37" s="322"/>
      <c r="AR37" s="322"/>
      <c r="AS37" s="322"/>
      <c r="AT37" s="322"/>
    </row>
    <row r="38" spans="2:46" ht="45" customHeight="1" x14ac:dyDescent="0.3">
      <c r="B38" s="314" t="s">
        <v>164</v>
      </c>
      <c r="C38" s="314"/>
      <c r="D38" s="314"/>
      <c r="E38" s="314"/>
      <c r="F38" s="314"/>
      <c r="G38" s="272"/>
      <c r="H38" s="272"/>
      <c r="I38" s="272"/>
      <c r="J38" s="272"/>
      <c r="K38" s="272"/>
      <c r="L38" s="272" t="s">
        <v>165</v>
      </c>
      <c r="M38" s="272"/>
      <c r="N38" s="272"/>
      <c r="O38" s="272"/>
      <c r="P38" s="272"/>
      <c r="Q38" s="272"/>
      <c r="R38" s="272"/>
      <c r="S38" s="272"/>
      <c r="T38" s="272"/>
      <c r="U38" s="272"/>
      <c r="V38" s="272"/>
      <c r="W38" s="272"/>
      <c r="X38" s="272"/>
      <c r="Y38" s="272"/>
      <c r="Z38" s="272"/>
      <c r="AA38" s="272"/>
      <c r="AB38" s="272"/>
      <c r="AC38" s="272"/>
      <c r="AD38" s="272"/>
      <c r="AE38" s="272"/>
      <c r="AF38" s="247"/>
      <c r="AG38" s="247"/>
      <c r="AH38" s="247"/>
      <c r="AI38" s="247"/>
      <c r="AJ38" s="247"/>
      <c r="AK38" s="247"/>
      <c r="AL38" s="247"/>
      <c r="AM38" s="247"/>
      <c r="AN38" s="247"/>
      <c r="AO38" s="247"/>
      <c r="AP38" s="313"/>
      <c r="AQ38" s="313"/>
      <c r="AR38" s="313"/>
      <c r="AS38" s="313"/>
      <c r="AT38" s="313"/>
    </row>
    <row r="39" spans="2:46" ht="45" customHeight="1" x14ac:dyDescent="0.3">
      <c r="B39" s="314" t="s">
        <v>166</v>
      </c>
      <c r="C39" s="314"/>
      <c r="D39" s="314"/>
      <c r="E39" s="314"/>
      <c r="F39" s="314"/>
      <c r="G39" s="272"/>
      <c r="H39" s="272"/>
      <c r="I39" s="272"/>
      <c r="J39" s="272"/>
      <c r="K39" s="272"/>
      <c r="L39" s="272" t="s">
        <v>167</v>
      </c>
      <c r="M39" s="272"/>
      <c r="N39" s="272"/>
      <c r="O39" s="272"/>
      <c r="P39" s="272"/>
      <c r="Q39" s="272" t="s">
        <v>168</v>
      </c>
      <c r="R39" s="272"/>
      <c r="S39" s="272"/>
      <c r="T39" s="272"/>
      <c r="U39" s="272"/>
      <c r="V39" s="272"/>
      <c r="W39" s="272"/>
      <c r="X39" s="272"/>
      <c r="Y39" s="272"/>
      <c r="Z39" s="272"/>
      <c r="AA39" s="272"/>
      <c r="AB39" s="272"/>
      <c r="AC39" s="272"/>
      <c r="AD39" s="272"/>
      <c r="AE39" s="272"/>
      <c r="AF39" s="247"/>
      <c r="AG39" s="247"/>
      <c r="AH39" s="247"/>
      <c r="AI39" s="247"/>
      <c r="AJ39" s="247"/>
      <c r="AK39" s="247"/>
      <c r="AL39" s="247"/>
      <c r="AM39" s="247"/>
      <c r="AN39" s="247"/>
      <c r="AO39" s="247"/>
      <c r="AP39" s="313"/>
      <c r="AQ39" s="313"/>
      <c r="AR39" s="313"/>
      <c r="AS39" s="313"/>
      <c r="AT39" s="313"/>
    </row>
    <row r="40" spans="2:46" ht="45" customHeight="1" x14ac:dyDescent="0.3">
      <c r="B40" s="314" t="s">
        <v>169</v>
      </c>
      <c r="C40" s="314"/>
      <c r="D40" s="314"/>
      <c r="E40" s="314"/>
      <c r="F40" s="314"/>
      <c r="G40" s="272" t="s">
        <v>169</v>
      </c>
      <c r="H40" s="272"/>
      <c r="I40" s="272"/>
      <c r="J40" s="272"/>
      <c r="K40" s="272"/>
      <c r="L40" s="272" t="s">
        <v>170</v>
      </c>
      <c r="M40" s="272"/>
      <c r="N40" s="272"/>
      <c r="O40" s="272"/>
      <c r="P40" s="272"/>
      <c r="Q40" s="272"/>
      <c r="R40" s="272"/>
      <c r="S40" s="272"/>
      <c r="T40" s="272"/>
      <c r="U40" s="272"/>
      <c r="V40" s="272"/>
      <c r="W40" s="272"/>
      <c r="X40" s="272"/>
      <c r="Y40" s="272"/>
      <c r="Z40" s="272"/>
      <c r="AA40" s="272"/>
      <c r="AB40" s="272"/>
      <c r="AC40" s="272"/>
      <c r="AD40" s="272"/>
      <c r="AE40" s="272"/>
      <c r="AF40" s="247"/>
      <c r="AG40" s="247"/>
      <c r="AH40" s="247"/>
      <c r="AI40" s="247"/>
      <c r="AJ40" s="247"/>
      <c r="AK40" s="247"/>
      <c r="AL40" s="247"/>
      <c r="AM40" s="247"/>
      <c r="AN40" s="247"/>
      <c r="AO40" s="247"/>
      <c r="AP40" s="313"/>
      <c r="AQ40" s="313"/>
      <c r="AR40" s="313"/>
      <c r="AS40" s="313"/>
      <c r="AT40" s="313"/>
    </row>
    <row r="41" spans="2:46" ht="45" customHeight="1" x14ac:dyDescent="0.3">
      <c r="B41" s="319" t="s">
        <v>171</v>
      </c>
      <c r="C41" s="319"/>
      <c r="D41" s="319"/>
      <c r="E41" s="319"/>
      <c r="F41" s="319"/>
      <c r="G41" s="279" t="s">
        <v>171</v>
      </c>
      <c r="H41" s="279"/>
      <c r="I41" s="279"/>
      <c r="J41" s="279"/>
      <c r="K41" s="279"/>
      <c r="L41" s="279" t="s">
        <v>172</v>
      </c>
      <c r="M41" s="279"/>
      <c r="N41" s="279"/>
      <c r="O41" s="279"/>
      <c r="P41" s="279"/>
      <c r="Q41" s="279" t="s">
        <v>173</v>
      </c>
      <c r="R41" s="279"/>
      <c r="S41" s="279"/>
      <c r="T41" s="279"/>
      <c r="U41" s="279"/>
      <c r="V41" s="279" t="s">
        <v>174</v>
      </c>
      <c r="W41" s="279"/>
      <c r="X41" s="279"/>
      <c r="Y41" s="279"/>
      <c r="Z41" s="279"/>
      <c r="AA41" s="279" t="s">
        <v>175</v>
      </c>
      <c r="AB41" s="279"/>
      <c r="AC41" s="279"/>
      <c r="AD41" s="279"/>
      <c r="AE41" s="279"/>
      <c r="AF41" s="250" t="s">
        <v>176</v>
      </c>
      <c r="AG41" s="250"/>
      <c r="AH41" s="250"/>
      <c r="AI41" s="250"/>
      <c r="AJ41" s="250"/>
      <c r="AK41" s="250" t="s">
        <v>177</v>
      </c>
      <c r="AL41" s="250"/>
      <c r="AM41" s="250"/>
      <c r="AN41" s="250"/>
      <c r="AO41" s="250"/>
      <c r="AP41" s="320" t="s">
        <v>177</v>
      </c>
      <c r="AQ41" s="320"/>
      <c r="AR41" s="320"/>
      <c r="AS41" s="320"/>
      <c r="AT41" s="320"/>
    </row>
    <row r="42" spans="2:46" ht="45" customHeight="1" x14ac:dyDescent="0.3">
      <c r="B42" s="314"/>
      <c r="C42" s="314"/>
      <c r="D42" s="314"/>
      <c r="E42" s="314"/>
      <c r="F42" s="314"/>
      <c r="G42" s="272"/>
      <c r="H42" s="272"/>
      <c r="I42" s="272"/>
      <c r="J42" s="272"/>
      <c r="K42" s="272"/>
      <c r="L42" s="272"/>
      <c r="M42" s="272"/>
      <c r="N42" s="272"/>
      <c r="O42" s="272"/>
      <c r="P42" s="272"/>
      <c r="Q42" s="272"/>
      <c r="R42" s="272"/>
      <c r="S42" s="272"/>
      <c r="T42" s="272"/>
      <c r="U42" s="272"/>
      <c r="V42" s="272"/>
      <c r="W42" s="272"/>
      <c r="X42" s="272"/>
      <c r="Y42" s="272"/>
      <c r="Z42" s="272"/>
      <c r="AA42" s="272"/>
      <c r="AB42" s="272"/>
      <c r="AC42" s="272"/>
      <c r="AD42" s="272"/>
      <c r="AE42" s="272"/>
      <c r="AF42" s="247"/>
      <c r="AG42" s="247"/>
      <c r="AH42" s="247"/>
      <c r="AI42" s="247"/>
      <c r="AJ42" s="247"/>
      <c r="AK42" s="247"/>
      <c r="AL42" s="247"/>
      <c r="AM42" s="247"/>
      <c r="AN42" s="247"/>
      <c r="AO42" s="247"/>
      <c r="AP42" s="313"/>
      <c r="AQ42" s="313"/>
      <c r="AR42" s="313"/>
      <c r="AS42" s="313"/>
      <c r="AT42" s="313"/>
    </row>
    <row r="43" spans="2:46" ht="45" customHeight="1" x14ac:dyDescent="0.3">
      <c r="B43" s="315" t="s">
        <v>178</v>
      </c>
      <c r="C43" s="315"/>
      <c r="D43" s="315"/>
      <c r="E43" s="315"/>
      <c r="F43" s="315"/>
      <c r="G43" s="316" t="s">
        <v>178</v>
      </c>
      <c r="H43" s="316"/>
      <c r="I43" s="316"/>
      <c r="J43" s="316"/>
      <c r="K43" s="316"/>
      <c r="L43" s="316" t="s">
        <v>178</v>
      </c>
      <c r="M43" s="316"/>
      <c r="N43" s="316"/>
      <c r="O43" s="316"/>
      <c r="P43" s="316"/>
      <c r="Q43" s="316" t="s">
        <v>178</v>
      </c>
      <c r="R43" s="316"/>
      <c r="S43" s="316"/>
      <c r="T43" s="316"/>
      <c r="U43" s="316"/>
      <c r="V43" s="316" t="s">
        <v>178</v>
      </c>
      <c r="W43" s="316"/>
      <c r="X43" s="316"/>
      <c r="Y43" s="316"/>
      <c r="Z43" s="316"/>
      <c r="AA43" s="316" t="s">
        <v>178</v>
      </c>
      <c r="AB43" s="316"/>
      <c r="AC43" s="316"/>
      <c r="AD43" s="316"/>
      <c r="AE43" s="316"/>
      <c r="AF43" s="317" t="s">
        <v>178</v>
      </c>
      <c r="AG43" s="317"/>
      <c r="AH43" s="317"/>
      <c r="AI43" s="317"/>
      <c r="AJ43" s="317"/>
      <c r="AK43" s="317" t="s">
        <v>178</v>
      </c>
      <c r="AL43" s="317"/>
      <c r="AM43" s="317"/>
      <c r="AN43" s="317"/>
      <c r="AO43" s="317"/>
      <c r="AP43" s="318" t="s">
        <v>178</v>
      </c>
      <c r="AQ43" s="318"/>
      <c r="AR43" s="318"/>
      <c r="AS43" s="318"/>
      <c r="AT43" s="318"/>
    </row>
    <row r="44" spans="2:46" ht="45" customHeight="1" x14ac:dyDescent="0.3">
      <c r="B44" s="314" t="s">
        <v>179</v>
      </c>
      <c r="C44" s="314"/>
      <c r="D44" s="314"/>
      <c r="E44" s="314"/>
      <c r="F44" s="314"/>
      <c r="G44" s="272"/>
      <c r="H44" s="272"/>
      <c r="I44" s="272"/>
      <c r="J44" s="272"/>
      <c r="K44" s="272"/>
      <c r="L44" s="272" t="s">
        <v>179</v>
      </c>
      <c r="M44" s="272"/>
      <c r="N44" s="272"/>
      <c r="O44" s="272"/>
      <c r="P44" s="272"/>
      <c r="Q44" s="272"/>
      <c r="R44" s="272"/>
      <c r="S44" s="272"/>
      <c r="T44" s="272"/>
      <c r="U44" s="272"/>
      <c r="V44" s="272"/>
      <c r="W44" s="272"/>
      <c r="X44" s="272"/>
      <c r="Y44" s="272"/>
      <c r="Z44" s="272"/>
      <c r="AA44" s="272"/>
      <c r="AB44" s="272"/>
      <c r="AC44" s="272"/>
      <c r="AD44" s="272"/>
      <c r="AE44" s="272"/>
      <c r="AF44" s="247"/>
      <c r="AG44" s="247"/>
      <c r="AH44" s="247"/>
      <c r="AI44" s="247"/>
      <c r="AJ44" s="247"/>
      <c r="AK44" s="247"/>
      <c r="AL44" s="247"/>
      <c r="AM44" s="247"/>
      <c r="AN44" s="247"/>
      <c r="AO44" s="247"/>
      <c r="AP44" s="313"/>
      <c r="AQ44" s="313"/>
      <c r="AR44" s="313"/>
      <c r="AS44" s="313"/>
      <c r="AT44" s="313"/>
    </row>
    <row r="45" spans="2:46" ht="45" customHeight="1" x14ac:dyDescent="0.3">
      <c r="B45" s="314" t="s">
        <v>180</v>
      </c>
      <c r="C45" s="314"/>
      <c r="D45" s="314"/>
      <c r="E45" s="314"/>
      <c r="F45" s="314"/>
      <c r="G45" s="272"/>
      <c r="H45" s="272"/>
      <c r="I45" s="272"/>
      <c r="J45" s="272"/>
      <c r="K45" s="272"/>
      <c r="L45" s="272" t="s">
        <v>180</v>
      </c>
      <c r="M45" s="272"/>
      <c r="N45" s="272"/>
      <c r="O45" s="272"/>
      <c r="P45" s="272"/>
      <c r="Q45" s="272"/>
      <c r="R45" s="272"/>
      <c r="S45" s="272"/>
      <c r="T45" s="272"/>
      <c r="U45" s="272"/>
      <c r="V45" s="272"/>
      <c r="W45" s="272"/>
      <c r="X45" s="272"/>
      <c r="Y45" s="272"/>
      <c r="Z45" s="272"/>
      <c r="AA45" s="272"/>
      <c r="AB45" s="272"/>
      <c r="AC45" s="272"/>
      <c r="AD45" s="272"/>
      <c r="AE45" s="272"/>
      <c r="AF45" s="247"/>
      <c r="AG45" s="247"/>
      <c r="AH45" s="247"/>
      <c r="AI45" s="247"/>
      <c r="AJ45" s="247"/>
      <c r="AK45" s="247"/>
      <c r="AL45" s="247"/>
      <c r="AM45" s="247"/>
      <c r="AN45" s="247"/>
      <c r="AO45" s="247"/>
      <c r="AP45" s="313"/>
      <c r="AQ45" s="313"/>
      <c r="AR45" s="313"/>
      <c r="AS45" s="313"/>
      <c r="AT45" s="313"/>
    </row>
    <row r="46" spans="2:46" ht="45" customHeight="1" x14ac:dyDescent="0.3">
      <c r="B46" s="314" t="s">
        <v>181</v>
      </c>
      <c r="C46" s="314"/>
      <c r="D46" s="314"/>
      <c r="E46" s="314"/>
      <c r="F46" s="314"/>
      <c r="G46" s="272"/>
      <c r="H46" s="272"/>
      <c r="I46" s="272"/>
      <c r="J46" s="272"/>
      <c r="K46" s="272"/>
      <c r="L46" s="272" t="s">
        <v>181</v>
      </c>
      <c r="M46" s="272"/>
      <c r="N46" s="272"/>
      <c r="O46" s="272"/>
      <c r="P46" s="272"/>
      <c r="Q46" s="272"/>
      <c r="R46" s="272"/>
      <c r="S46" s="272"/>
      <c r="T46" s="272"/>
      <c r="U46" s="272"/>
      <c r="V46" s="272"/>
      <c r="W46" s="272"/>
      <c r="X46" s="272"/>
      <c r="Y46" s="272"/>
      <c r="Z46" s="272"/>
      <c r="AA46" s="272"/>
      <c r="AB46" s="272"/>
      <c r="AC46" s="272"/>
      <c r="AD46" s="272"/>
      <c r="AE46" s="272"/>
      <c r="AF46" s="247"/>
      <c r="AG46" s="247"/>
      <c r="AH46" s="247"/>
      <c r="AI46" s="247"/>
      <c r="AJ46" s="247"/>
      <c r="AK46" s="247"/>
      <c r="AL46" s="247"/>
      <c r="AM46" s="247"/>
      <c r="AN46" s="247"/>
      <c r="AO46" s="247"/>
      <c r="AP46" s="313"/>
      <c r="AQ46" s="313"/>
      <c r="AR46" s="313"/>
      <c r="AS46" s="313"/>
      <c r="AT46" s="313"/>
    </row>
    <row r="47" spans="2:46" ht="45" customHeight="1" x14ac:dyDescent="0.3">
      <c r="B47" s="319" t="s">
        <v>182</v>
      </c>
      <c r="C47" s="319"/>
      <c r="D47" s="319"/>
      <c r="E47" s="319"/>
      <c r="F47" s="319"/>
      <c r="G47" s="279" t="s">
        <v>182</v>
      </c>
      <c r="H47" s="279"/>
      <c r="I47" s="279"/>
      <c r="J47" s="279"/>
      <c r="K47" s="279"/>
      <c r="L47" s="279" t="s">
        <v>182</v>
      </c>
      <c r="M47" s="279"/>
      <c r="N47" s="279"/>
      <c r="O47" s="279"/>
      <c r="P47" s="279"/>
      <c r="Q47" s="279" t="s">
        <v>182</v>
      </c>
      <c r="R47" s="279"/>
      <c r="S47" s="279"/>
      <c r="T47" s="279"/>
      <c r="U47" s="279"/>
      <c r="V47" s="279" t="s">
        <v>182</v>
      </c>
      <c r="W47" s="279"/>
      <c r="X47" s="279"/>
      <c r="Y47" s="279"/>
      <c r="Z47" s="279"/>
      <c r="AA47" s="279" t="s">
        <v>182</v>
      </c>
      <c r="AB47" s="279"/>
      <c r="AC47" s="279"/>
      <c r="AD47" s="279"/>
      <c r="AE47" s="279"/>
      <c r="AF47" s="250" t="s">
        <v>182</v>
      </c>
      <c r="AG47" s="250"/>
      <c r="AH47" s="250"/>
      <c r="AI47" s="250"/>
      <c r="AJ47" s="250"/>
      <c r="AK47" s="250" t="s">
        <v>182</v>
      </c>
      <c r="AL47" s="250"/>
      <c r="AM47" s="250"/>
      <c r="AN47" s="250"/>
      <c r="AO47" s="250"/>
      <c r="AP47" s="320" t="s">
        <v>182</v>
      </c>
      <c r="AQ47" s="320"/>
      <c r="AR47" s="320"/>
      <c r="AS47" s="320"/>
      <c r="AT47" s="320"/>
    </row>
    <row r="48" spans="2:46" ht="45" customHeight="1" x14ac:dyDescent="0.3">
      <c r="B48" s="319" t="s">
        <v>183</v>
      </c>
      <c r="C48" s="319"/>
      <c r="D48" s="319"/>
      <c r="E48" s="319"/>
      <c r="F48" s="319"/>
      <c r="G48" s="279" t="s">
        <v>183</v>
      </c>
      <c r="H48" s="279"/>
      <c r="I48" s="279"/>
      <c r="J48" s="279"/>
      <c r="K48" s="279"/>
      <c r="L48" s="279" t="s">
        <v>183</v>
      </c>
      <c r="M48" s="279"/>
      <c r="N48" s="279"/>
      <c r="O48" s="279"/>
      <c r="P48" s="279"/>
      <c r="Q48" s="279" t="s">
        <v>183</v>
      </c>
      <c r="R48" s="279"/>
      <c r="S48" s="279"/>
      <c r="T48" s="279"/>
      <c r="U48" s="279"/>
      <c r="V48" s="279" t="s">
        <v>183</v>
      </c>
      <c r="W48" s="279"/>
      <c r="X48" s="279"/>
      <c r="Y48" s="279"/>
      <c r="Z48" s="279"/>
      <c r="AA48" s="279" t="s">
        <v>183</v>
      </c>
      <c r="AB48" s="279"/>
      <c r="AC48" s="279"/>
      <c r="AD48" s="279"/>
      <c r="AE48" s="279"/>
      <c r="AF48" s="250" t="s">
        <v>183</v>
      </c>
      <c r="AG48" s="250"/>
      <c r="AH48" s="250"/>
      <c r="AI48" s="250"/>
      <c r="AJ48" s="250"/>
      <c r="AK48" s="250" t="s">
        <v>183</v>
      </c>
      <c r="AL48" s="250"/>
      <c r="AM48" s="250"/>
      <c r="AN48" s="250"/>
      <c r="AO48" s="250"/>
      <c r="AP48" s="320" t="s">
        <v>183</v>
      </c>
      <c r="AQ48" s="320"/>
      <c r="AR48" s="320"/>
      <c r="AS48" s="320"/>
      <c r="AT48" s="320"/>
    </row>
    <row r="49" spans="2:51" ht="45" customHeight="1" x14ac:dyDescent="0.3">
      <c r="B49" s="314" t="s">
        <v>184</v>
      </c>
      <c r="C49" s="314"/>
      <c r="D49" s="314"/>
      <c r="E49" s="314"/>
      <c r="F49" s="314"/>
      <c r="G49" s="272" t="s">
        <v>184</v>
      </c>
      <c r="H49" s="272"/>
      <c r="I49" s="272"/>
      <c r="J49" s="272"/>
      <c r="K49" s="272"/>
      <c r="L49" s="272" t="s">
        <v>184</v>
      </c>
      <c r="M49" s="272"/>
      <c r="N49" s="272"/>
      <c r="O49" s="272"/>
      <c r="P49" s="272"/>
      <c r="Q49" s="272"/>
      <c r="R49" s="272"/>
      <c r="S49" s="272"/>
      <c r="T49" s="272"/>
      <c r="U49" s="272"/>
      <c r="V49" s="272"/>
      <c r="W49" s="272"/>
      <c r="X49" s="272"/>
      <c r="Y49" s="272"/>
      <c r="Z49" s="272"/>
      <c r="AA49" s="272"/>
      <c r="AB49" s="272"/>
      <c r="AC49" s="272"/>
      <c r="AD49" s="272"/>
      <c r="AE49" s="272"/>
      <c r="AF49" s="247"/>
      <c r="AG49" s="247"/>
      <c r="AH49" s="247"/>
      <c r="AI49" s="247"/>
      <c r="AJ49" s="247"/>
      <c r="AK49" s="247"/>
      <c r="AL49" s="247"/>
      <c r="AM49" s="247"/>
      <c r="AN49" s="247"/>
      <c r="AO49" s="247"/>
      <c r="AP49" s="313"/>
      <c r="AQ49" s="313"/>
      <c r="AR49" s="313"/>
      <c r="AS49" s="313"/>
      <c r="AT49" s="313"/>
    </row>
    <row r="50" spans="2:51" ht="45" customHeight="1" x14ac:dyDescent="0.3">
      <c r="B50" s="314"/>
      <c r="C50" s="314"/>
      <c r="D50" s="314"/>
      <c r="E50" s="314"/>
      <c r="F50" s="314"/>
      <c r="G50" s="272"/>
      <c r="H50" s="272"/>
      <c r="I50" s="272"/>
      <c r="J50" s="272"/>
      <c r="K50" s="272"/>
      <c r="L50" s="272"/>
      <c r="M50" s="272"/>
      <c r="N50" s="272"/>
      <c r="O50" s="272"/>
      <c r="P50" s="272"/>
      <c r="Q50" s="272"/>
      <c r="R50" s="272"/>
      <c r="S50" s="272"/>
      <c r="T50" s="272"/>
      <c r="U50" s="272"/>
      <c r="V50" s="272"/>
      <c r="W50" s="272"/>
      <c r="X50" s="272"/>
      <c r="Y50" s="272"/>
      <c r="Z50" s="272"/>
      <c r="AA50" s="272"/>
      <c r="AB50" s="272"/>
      <c r="AC50" s="272"/>
      <c r="AD50" s="272"/>
      <c r="AE50" s="272"/>
      <c r="AF50" s="247"/>
      <c r="AG50" s="247"/>
      <c r="AH50" s="247"/>
      <c r="AI50" s="247"/>
      <c r="AJ50" s="247"/>
      <c r="AK50" s="247"/>
      <c r="AL50" s="247"/>
      <c r="AM50" s="247"/>
      <c r="AN50" s="247"/>
      <c r="AO50" s="247"/>
      <c r="AP50" s="313"/>
      <c r="AQ50" s="313"/>
      <c r="AR50" s="313"/>
      <c r="AS50" s="313"/>
      <c r="AT50" s="313"/>
    </row>
    <row r="51" spans="2:51" ht="45" customHeight="1" x14ac:dyDescent="0.3">
      <c r="B51" s="315" t="s">
        <v>185</v>
      </c>
      <c r="C51" s="315"/>
      <c r="D51" s="315"/>
      <c r="E51" s="315"/>
      <c r="F51" s="315"/>
      <c r="G51" s="316" t="s">
        <v>185</v>
      </c>
      <c r="H51" s="316"/>
      <c r="I51" s="316"/>
      <c r="J51" s="316"/>
      <c r="K51" s="316"/>
      <c r="L51" s="316" t="s">
        <v>185</v>
      </c>
      <c r="M51" s="316"/>
      <c r="N51" s="316"/>
      <c r="O51" s="316"/>
      <c r="P51" s="316"/>
      <c r="Q51" s="316" t="s">
        <v>185</v>
      </c>
      <c r="R51" s="316"/>
      <c r="S51" s="316"/>
      <c r="T51" s="316"/>
      <c r="U51" s="316"/>
      <c r="V51" s="316" t="s">
        <v>185</v>
      </c>
      <c r="W51" s="316"/>
      <c r="X51" s="316"/>
      <c r="Y51" s="316"/>
      <c r="Z51" s="316"/>
      <c r="AA51" s="316" t="s">
        <v>185</v>
      </c>
      <c r="AB51" s="316"/>
      <c r="AC51" s="316"/>
      <c r="AD51" s="316"/>
      <c r="AE51" s="316"/>
      <c r="AF51" s="317" t="s">
        <v>185</v>
      </c>
      <c r="AG51" s="317"/>
      <c r="AH51" s="317"/>
      <c r="AI51" s="317"/>
      <c r="AJ51" s="317"/>
      <c r="AK51" s="317" t="s">
        <v>185</v>
      </c>
      <c r="AL51" s="317"/>
      <c r="AM51" s="317"/>
      <c r="AN51" s="317"/>
      <c r="AO51" s="317"/>
      <c r="AP51" s="318" t="s">
        <v>185</v>
      </c>
      <c r="AQ51" s="318"/>
      <c r="AR51" s="318"/>
      <c r="AS51" s="318"/>
      <c r="AT51" s="318"/>
    </row>
    <row r="52" spans="2:51" ht="45" customHeight="1" x14ac:dyDescent="0.3">
      <c r="B52" s="314" t="s">
        <v>186</v>
      </c>
      <c r="C52" s="314"/>
      <c r="D52" s="314"/>
      <c r="E52" s="314"/>
      <c r="F52" s="314"/>
      <c r="G52" s="272"/>
      <c r="H52" s="272"/>
      <c r="I52" s="272"/>
      <c r="J52" s="272"/>
      <c r="K52" s="272"/>
      <c r="L52" s="272" t="s">
        <v>187</v>
      </c>
      <c r="M52" s="272"/>
      <c r="N52" s="272"/>
      <c r="O52" s="272"/>
      <c r="P52" s="272"/>
      <c r="Q52" s="272" t="s">
        <v>187</v>
      </c>
      <c r="R52" s="272"/>
      <c r="S52" s="272"/>
      <c r="T52" s="272"/>
      <c r="U52" s="272"/>
      <c r="V52" s="272"/>
      <c r="W52" s="272"/>
      <c r="X52" s="272"/>
      <c r="Y52" s="272"/>
      <c r="Z52" s="272"/>
      <c r="AA52" s="272"/>
      <c r="AB52" s="272"/>
      <c r="AC52" s="272"/>
      <c r="AD52" s="272"/>
      <c r="AE52" s="272"/>
      <c r="AF52" s="247"/>
      <c r="AG52" s="247"/>
      <c r="AH52" s="247"/>
      <c r="AI52" s="247"/>
      <c r="AJ52" s="247"/>
      <c r="AK52" s="247"/>
      <c r="AL52" s="247"/>
      <c r="AM52" s="247"/>
      <c r="AN52" s="247"/>
      <c r="AO52" s="247"/>
      <c r="AP52" s="313"/>
      <c r="AQ52" s="313"/>
      <c r="AR52" s="313"/>
      <c r="AS52" s="313"/>
      <c r="AT52" s="313"/>
    </row>
    <row r="53" spans="2:51" ht="45" customHeight="1" x14ac:dyDescent="0.3">
      <c r="B53" s="314" t="s">
        <v>188</v>
      </c>
      <c r="C53" s="314"/>
      <c r="D53" s="314"/>
      <c r="E53" s="314"/>
      <c r="F53" s="314"/>
      <c r="G53" s="272"/>
      <c r="H53" s="272"/>
      <c r="I53" s="272"/>
      <c r="J53" s="272"/>
      <c r="K53" s="272"/>
      <c r="L53" s="272" t="s">
        <v>189</v>
      </c>
      <c r="M53" s="272"/>
      <c r="N53" s="272"/>
      <c r="O53" s="272"/>
      <c r="P53" s="272"/>
      <c r="Q53" s="272" t="s">
        <v>189</v>
      </c>
      <c r="R53" s="272"/>
      <c r="S53" s="272"/>
      <c r="T53" s="272"/>
      <c r="U53" s="272"/>
      <c r="V53" s="272"/>
      <c r="W53" s="272"/>
      <c r="X53" s="272"/>
      <c r="Y53" s="272"/>
      <c r="Z53" s="272"/>
      <c r="AA53" s="272"/>
      <c r="AB53" s="272"/>
      <c r="AC53" s="272"/>
      <c r="AD53" s="272"/>
      <c r="AE53" s="272"/>
      <c r="AF53" s="247"/>
      <c r="AG53" s="247"/>
      <c r="AH53" s="247"/>
      <c r="AI53" s="247"/>
      <c r="AJ53" s="247"/>
      <c r="AK53" s="247"/>
      <c r="AL53" s="247"/>
      <c r="AM53" s="247"/>
      <c r="AN53" s="247"/>
      <c r="AO53" s="247"/>
      <c r="AP53" s="313"/>
      <c r="AQ53" s="313"/>
      <c r="AR53" s="313"/>
      <c r="AS53" s="313"/>
      <c r="AT53" s="313"/>
    </row>
    <row r="54" spans="2:51" ht="45" customHeight="1" x14ac:dyDescent="0.3">
      <c r="B54" s="314" t="s">
        <v>190</v>
      </c>
      <c r="C54" s="314"/>
      <c r="D54" s="314"/>
      <c r="E54" s="314"/>
      <c r="F54" s="314"/>
      <c r="G54" s="272" t="s">
        <v>191</v>
      </c>
      <c r="H54" s="272"/>
      <c r="I54" s="272"/>
      <c r="J54" s="272"/>
      <c r="K54" s="272"/>
      <c r="L54" s="272" t="s">
        <v>191</v>
      </c>
      <c r="M54" s="272"/>
      <c r="N54" s="272"/>
      <c r="O54" s="272"/>
      <c r="P54" s="272"/>
      <c r="Q54" s="272" t="s">
        <v>191</v>
      </c>
      <c r="R54" s="272"/>
      <c r="S54" s="272"/>
      <c r="T54" s="272"/>
      <c r="U54" s="272"/>
      <c r="V54" s="272"/>
      <c r="W54" s="272"/>
      <c r="X54" s="272"/>
      <c r="Y54" s="272"/>
      <c r="Z54" s="272"/>
      <c r="AA54" s="272"/>
      <c r="AB54" s="272"/>
      <c r="AC54" s="272"/>
      <c r="AD54" s="272"/>
      <c r="AE54" s="272"/>
      <c r="AF54" s="247"/>
      <c r="AG54" s="247"/>
      <c r="AH54" s="247"/>
      <c r="AI54" s="247"/>
      <c r="AJ54" s="247"/>
      <c r="AK54" s="247"/>
      <c r="AL54" s="247"/>
      <c r="AM54" s="247"/>
      <c r="AN54" s="247"/>
      <c r="AO54" s="247"/>
      <c r="AP54" s="313"/>
      <c r="AQ54" s="313"/>
      <c r="AR54" s="313"/>
      <c r="AS54" s="313"/>
      <c r="AT54" s="313"/>
    </row>
    <row r="55" spans="2:51" ht="45" customHeight="1" x14ac:dyDescent="0.3">
      <c r="B55" s="314" t="s">
        <v>192</v>
      </c>
      <c r="C55" s="314"/>
      <c r="D55" s="314"/>
      <c r="E55" s="314"/>
      <c r="F55" s="314"/>
      <c r="G55" s="272" t="s">
        <v>193</v>
      </c>
      <c r="H55" s="272"/>
      <c r="I55" s="272"/>
      <c r="J55" s="272"/>
      <c r="K55" s="272"/>
      <c r="L55" s="272" t="s">
        <v>193</v>
      </c>
      <c r="M55" s="272"/>
      <c r="N55" s="272"/>
      <c r="O55" s="272"/>
      <c r="P55" s="272"/>
      <c r="Q55" s="272" t="s">
        <v>193</v>
      </c>
      <c r="R55" s="272"/>
      <c r="S55" s="272"/>
      <c r="T55" s="272"/>
      <c r="U55" s="272"/>
      <c r="V55" s="272" t="s">
        <v>193</v>
      </c>
      <c r="W55" s="272"/>
      <c r="X55" s="272"/>
      <c r="Y55" s="272"/>
      <c r="Z55" s="272"/>
      <c r="AA55" s="272" t="s">
        <v>193</v>
      </c>
      <c r="AB55" s="272"/>
      <c r="AC55" s="272"/>
      <c r="AD55" s="272"/>
      <c r="AE55" s="272"/>
      <c r="AF55" s="247" t="s">
        <v>193</v>
      </c>
      <c r="AG55" s="247"/>
      <c r="AH55" s="247"/>
      <c r="AI55" s="247"/>
      <c r="AJ55" s="247"/>
      <c r="AK55" s="247" t="s">
        <v>193</v>
      </c>
      <c r="AL55" s="247"/>
      <c r="AM55" s="247"/>
      <c r="AN55" s="247"/>
      <c r="AO55" s="247"/>
      <c r="AP55" s="313" t="s">
        <v>193</v>
      </c>
      <c r="AQ55" s="313"/>
      <c r="AR55" s="313"/>
      <c r="AS55" s="313"/>
      <c r="AT55" s="313"/>
      <c r="AV55" s="16"/>
      <c r="AW55" s="16"/>
      <c r="AX55" s="321" t="s">
        <v>194</v>
      </c>
      <c r="AY55" s="321"/>
    </row>
    <row r="56" spans="2:51" ht="45" customHeight="1" x14ac:dyDescent="0.3">
      <c r="B56" s="314"/>
      <c r="C56" s="314"/>
      <c r="D56" s="314"/>
      <c r="E56" s="314"/>
      <c r="F56" s="314"/>
      <c r="G56" s="272"/>
      <c r="H56" s="272"/>
      <c r="I56" s="272"/>
      <c r="J56" s="272"/>
      <c r="K56" s="272"/>
      <c r="L56" s="272"/>
      <c r="M56" s="272"/>
      <c r="N56" s="272"/>
      <c r="O56" s="272"/>
      <c r="P56" s="272"/>
      <c r="Q56" s="272"/>
      <c r="R56" s="272"/>
      <c r="S56" s="272"/>
      <c r="T56" s="272"/>
      <c r="U56" s="272"/>
      <c r="V56" s="272"/>
      <c r="W56" s="272"/>
      <c r="X56" s="272"/>
      <c r="Y56" s="272"/>
      <c r="Z56" s="272"/>
      <c r="AA56" s="272"/>
      <c r="AB56" s="272"/>
      <c r="AC56" s="272"/>
      <c r="AD56" s="272"/>
      <c r="AE56" s="272"/>
      <c r="AF56" s="247"/>
      <c r="AG56" s="247"/>
      <c r="AH56" s="247"/>
      <c r="AI56" s="247"/>
      <c r="AJ56" s="247"/>
      <c r="AK56" s="247"/>
      <c r="AL56" s="247"/>
      <c r="AM56" s="247"/>
      <c r="AN56" s="247"/>
      <c r="AO56" s="247"/>
      <c r="AP56" s="313"/>
      <c r="AQ56" s="313"/>
      <c r="AR56" s="313"/>
      <c r="AS56" s="313"/>
      <c r="AT56" s="313"/>
    </row>
    <row r="57" spans="2:51" ht="45" customHeight="1" x14ac:dyDescent="0.3">
      <c r="B57" s="315" t="s">
        <v>195</v>
      </c>
      <c r="C57" s="315"/>
      <c r="D57" s="315"/>
      <c r="E57" s="315"/>
      <c r="F57" s="315"/>
      <c r="G57" s="316" t="s">
        <v>195</v>
      </c>
      <c r="H57" s="316"/>
      <c r="I57" s="316"/>
      <c r="J57" s="316"/>
      <c r="K57" s="316"/>
      <c r="L57" s="316" t="s">
        <v>195</v>
      </c>
      <c r="M57" s="316"/>
      <c r="N57" s="316"/>
      <c r="O57" s="316"/>
      <c r="P57" s="316"/>
      <c r="Q57" s="316" t="s">
        <v>195</v>
      </c>
      <c r="R57" s="316"/>
      <c r="S57" s="316"/>
      <c r="T57" s="316"/>
      <c r="U57" s="316"/>
      <c r="V57" s="316" t="s">
        <v>195</v>
      </c>
      <c r="W57" s="316"/>
      <c r="X57" s="316"/>
      <c r="Y57" s="316"/>
      <c r="Z57" s="316"/>
      <c r="AA57" s="316" t="s">
        <v>195</v>
      </c>
      <c r="AB57" s="316"/>
      <c r="AC57" s="316"/>
      <c r="AD57" s="316"/>
      <c r="AE57" s="316"/>
      <c r="AF57" s="317" t="s">
        <v>195</v>
      </c>
      <c r="AG57" s="317"/>
      <c r="AH57" s="317"/>
      <c r="AI57" s="317"/>
      <c r="AJ57" s="317"/>
      <c r="AK57" s="317" t="s">
        <v>195</v>
      </c>
      <c r="AL57" s="317"/>
      <c r="AM57" s="317"/>
      <c r="AN57" s="317"/>
      <c r="AO57" s="317"/>
      <c r="AP57" s="318" t="s">
        <v>195</v>
      </c>
      <c r="AQ57" s="318"/>
      <c r="AR57" s="318"/>
      <c r="AS57" s="318"/>
      <c r="AT57" s="318"/>
    </row>
    <row r="58" spans="2:51" ht="45" customHeight="1" x14ac:dyDescent="0.3">
      <c r="B58" s="314" t="s">
        <v>196</v>
      </c>
      <c r="C58" s="314"/>
      <c r="D58" s="314"/>
      <c r="E58" s="314"/>
      <c r="F58" s="314"/>
      <c r="G58" s="272"/>
      <c r="H58" s="272"/>
      <c r="I58" s="272"/>
      <c r="J58" s="272"/>
      <c r="K58" s="272"/>
      <c r="L58" s="272" t="s">
        <v>196</v>
      </c>
      <c r="M58" s="272"/>
      <c r="N58" s="272"/>
      <c r="O58" s="272"/>
      <c r="P58" s="272"/>
      <c r="Q58" s="272" t="s">
        <v>196</v>
      </c>
      <c r="R58" s="272"/>
      <c r="S58" s="272"/>
      <c r="T58" s="272"/>
      <c r="U58" s="272"/>
      <c r="V58" s="272" t="s">
        <v>196</v>
      </c>
      <c r="W58" s="272"/>
      <c r="X58" s="272"/>
      <c r="Y58" s="272"/>
      <c r="Z58" s="272"/>
      <c r="AA58" s="272" t="s">
        <v>196</v>
      </c>
      <c r="AB58" s="272"/>
      <c r="AC58" s="272"/>
      <c r="AD58" s="272"/>
      <c r="AE58" s="272"/>
      <c r="AF58" s="247" t="s">
        <v>196</v>
      </c>
      <c r="AG58" s="247"/>
      <c r="AH58" s="247"/>
      <c r="AI58" s="247"/>
      <c r="AJ58" s="247"/>
      <c r="AK58" s="247" t="s">
        <v>196</v>
      </c>
      <c r="AL58" s="247"/>
      <c r="AM58" s="247"/>
      <c r="AN58" s="247"/>
      <c r="AO58" s="247"/>
      <c r="AP58" s="313" t="s">
        <v>196</v>
      </c>
      <c r="AQ58" s="313"/>
      <c r="AR58" s="313"/>
      <c r="AS58" s="313"/>
      <c r="AT58" s="313"/>
    </row>
    <row r="59" spans="2:51" ht="45" customHeight="1" x14ac:dyDescent="0.3">
      <c r="B59" s="314" t="s">
        <v>197</v>
      </c>
      <c r="C59" s="314"/>
      <c r="D59" s="314"/>
      <c r="E59" s="314"/>
      <c r="F59" s="314"/>
      <c r="G59" s="272"/>
      <c r="H59" s="272"/>
      <c r="I59" s="272"/>
      <c r="J59" s="272"/>
      <c r="K59" s="272"/>
      <c r="L59" s="272" t="s">
        <v>197</v>
      </c>
      <c r="M59" s="272"/>
      <c r="N59" s="272"/>
      <c r="O59" s="272"/>
      <c r="P59" s="272"/>
      <c r="Q59" s="272" t="s">
        <v>197</v>
      </c>
      <c r="R59" s="272"/>
      <c r="S59" s="272"/>
      <c r="T59" s="272"/>
      <c r="U59" s="272"/>
      <c r="V59" s="272" t="s">
        <v>197</v>
      </c>
      <c r="W59" s="272"/>
      <c r="X59" s="272"/>
      <c r="Y59" s="272"/>
      <c r="Z59" s="272"/>
      <c r="AA59" s="272" t="s">
        <v>197</v>
      </c>
      <c r="AB59" s="272"/>
      <c r="AC59" s="272"/>
      <c r="AD59" s="272"/>
      <c r="AE59" s="272"/>
      <c r="AF59" s="247" t="s">
        <v>197</v>
      </c>
      <c r="AG59" s="247"/>
      <c r="AH59" s="247"/>
      <c r="AI59" s="247"/>
      <c r="AJ59" s="247"/>
      <c r="AK59" s="247" t="s">
        <v>197</v>
      </c>
      <c r="AL59" s="247"/>
      <c r="AM59" s="247"/>
      <c r="AN59" s="247"/>
      <c r="AO59" s="247"/>
      <c r="AP59" s="313" t="s">
        <v>197</v>
      </c>
      <c r="AQ59" s="313"/>
      <c r="AR59" s="313"/>
      <c r="AS59" s="313"/>
      <c r="AT59" s="313"/>
    </row>
    <row r="60" spans="2:51" ht="45" customHeight="1" x14ac:dyDescent="0.3">
      <c r="B60" s="314" t="s">
        <v>198</v>
      </c>
      <c r="C60" s="314"/>
      <c r="D60" s="314"/>
      <c r="E60" s="314"/>
      <c r="F60" s="314"/>
      <c r="G60" s="272"/>
      <c r="H60" s="272"/>
      <c r="I60" s="272"/>
      <c r="J60" s="272"/>
      <c r="K60" s="272"/>
      <c r="L60" s="272" t="s">
        <v>198</v>
      </c>
      <c r="M60" s="272"/>
      <c r="N60" s="272"/>
      <c r="O60" s="272"/>
      <c r="P60" s="272"/>
      <c r="Q60" s="272" t="s">
        <v>198</v>
      </c>
      <c r="R60" s="272"/>
      <c r="S60" s="272"/>
      <c r="T60" s="272"/>
      <c r="U60" s="272"/>
      <c r="V60" s="272" t="s">
        <v>198</v>
      </c>
      <c r="W60" s="272"/>
      <c r="X60" s="272"/>
      <c r="Y60" s="272"/>
      <c r="Z60" s="272"/>
      <c r="AA60" s="272" t="s">
        <v>198</v>
      </c>
      <c r="AB60" s="272"/>
      <c r="AC60" s="272"/>
      <c r="AD60" s="272"/>
      <c r="AE60" s="272"/>
      <c r="AF60" s="247" t="s">
        <v>198</v>
      </c>
      <c r="AG60" s="247"/>
      <c r="AH60" s="247"/>
      <c r="AI60" s="247"/>
      <c r="AJ60" s="247"/>
      <c r="AK60" s="247" t="s">
        <v>198</v>
      </c>
      <c r="AL60" s="247"/>
      <c r="AM60" s="247"/>
      <c r="AN60" s="247"/>
      <c r="AO60" s="247"/>
      <c r="AP60" s="313" t="s">
        <v>198</v>
      </c>
      <c r="AQ60" s="313"/>
      <c r="AR60" s="313"/>
      <c r="AS60" s="313"/>
      <c r="AT60" s="313"/>
    </row>
    <row r="61" spans="2:51" ht="45" customHeight="1" x14ac:dyDescent="0.3">
      <c r="B61" s="314" t="s">
        <v>199</v>
      </c>
      <c r="C61" s="314"/>
      <c r="D61" s="314"/>
      <c r="E61" s="314"/>
      <c r="F61" s="314"/>
      <c r="G61" s="272"/>
      <c r="H61" s="272"/>
      <c r="I61" s="272"/>
      <c r="J61" s="272"/>
      <c r="K61" s="272"/>
      <c r="L61" s="272" t="s">
        <v>199</v>
      </c>
      <c r="M61" s="272"/>
      <c r="N61" s="272"/>
      <c r="O61" s="272"/>
      <c r="P61" s="272"/>
      <c r="Q61" s="272" t="s">
        <v>199</v>
      </c>
      <c r="R61" s="272"/>
      <c r="S61" s="272"/>
      <c r="T61" s="272"/>
      <c r="U61" s="272"/>
      <c r="V61" s="272" t="s">
        <v>199</v>
      </c>
      <c r="W61" s="272"/>
      <c r="X61" s="272"/>
      <c r="Y61" s="272"/>
      <c r="Z61" s="272"/>
      <c r="AA61" s="272" t="s">
        <v>199</v>
      </c>
      <c r="AB61" s="272"/>
      <c r="AC61" s="272"/>
      <c r="AD61" s="272"/>
      <c r="AE61" s="272"/>
      <c r="AF61" s="247" t="s">
        <v>199</v>
      </c>
      <c r="AG61" s="247"/>
      <c r="AH61" s="247"/>
      <c r="AI61" s="247"/>
      <c r="AJ61" s="247"/>
      <c r="AK61" s="247" t="s">
        <v>199</v>
      </c>
      <c r="AL61" s="247"/>
      <c r="AM61" s="247"/>
      <c r="AN61" s="247"/>
      <c r="AO61" s="247"/>
      <c r="AP61" s="313" t="s">
        <v>199</v>
      </c>
      <c r="AQ61" s="313"/>
      <c r="AR61" s="313"/>
      <c r="AS61" s="313"/>
      <c r="AT61" s="313"/>
    </row>
    <row r="62" spans="2:51" ht="45" customHeight="1" x14ac:dyDescent="0.3">
      <c r="B62" s="314" t="s">
        <v>200</v>
      </c>
      <c r="C62" s="314"/>
      <c r="D62" s="314"/>
      <c r="E62" s="314"/>
      <c r="F62" s="314"/>
      <c r="G62" s="272"/>
      <c r="H62" s="272"/>
      <c r="I62" s="272"/>
      <c r="J62" s="272"/>
      <c r="K62" s="272"/>
      <c r="L62" s="272" t="s">
        <v>200</v>
      </c>
      <c r="M62" s="272"/>
      <c r="N62" s="272"/>
      <c r="O62" s="272"/>
      <c r="P62" s="272"/>
      <c r="Q62" s="272" t="s">
        <v>200</v>
      </c>
      <c r="R62" s="272"/>
      <c r="S62" s="272"/>
      <c r="T62" s="272"/>
      <c r="U62" s="272"/>
      <c r="V62" s="272" t="s">
        <v>200</v>
      </c>
      <c r="W62" s="272"/>
      <c r="X62" s="272"/>
      <c r="Y62" s="272"/>
      <c r="Z62" s="272"/>
      <c r="AA62" s="272" t="s">
        <v>200</v>
      </c>
      <c r="AB62" s="272"/>
      <c r="AC62" s="272"/>
      <c r="AD62" s="272"/>
      <c r="AE62" s="272"/>
      <c r="AF62" s="247" t="s">
        <v>200</v>
      </c>
      <c r="AG62" s="247"/>
      <c r="AH62" s="247"/>
      <c r="AI62" s="247"/>
      <c r="AJ62" s="247"/>
      <c r="AK62" s="247" t="s">
        <v>200</v>
      </c>
      <c r="AL62" s="247"/>
      <c r="AM62" s="247"/>
      <c r="AN62" s="247"/>
      <c r="AO62" s="247"/>
      <c r="AP62" s="313" t="s">
        <v>200</v>
      </c>
      <c r="AQ62" s="313"/>
      <c r="AR62" s="313"/>
      <c r="AS62" s="313"/>
      <c r="AT62" s="313"/>
    </row>
    <row r="63" spans="2:51" ht="45" customHeight="1" x14ac:dyDescent="0.3">
      <c r="B63" s="314" t="s">
        <v>201</v>
      </c>
      <c r="C63" s="314"/>
      <c r="D63" s="314"/>
      <c r="E63" s="314"/>
      <c r="F63" s="314"/>
      <c r="G63" s="272" t="s">
        <v>201</v>
      </c>
      <c r="H63" s="272"/>
      <c r="I63" s="272"/>
      <c r="J63" s="272"/>
      <c r="K63" s="272"/>
      <c r="L63" s="272" t="s">
        <v>201</v>
      </c>
      <c r="M63" s="272"/>
      <c r="N63" s="272"/>
      <c r="O63" s="272"/>
      <c r="P63" s="272"/>
      <c r="Q63" s="272" t="s">
        <v>201</v>
      </c>
      <c r="R63" s="272"/>
      <c r="S63" s="272"/>
      <c r="T63" s="272"/>
      <c r="U63" s="272"/>
      <c r="V63" s="272" t="s">
        <v>201</v>
      </c>
      <c r="W63" s="272"/>
      <c r="X63" s="272"/>
      <c r="Y63" s="272"/>
      <c r="Z63" s="272"/>
      <c r="AA63" s="272" t="s">
        <v>201</v>
      </c>
      <c r="AB63" s="272"/>
      <c r="AC63" s="272"/>
      <c r="AD63" s="272"/>
      <c r="AE63" s="272"/>
      <c r="AF63" s="247" t="s">
        <v>201</v>
      </c>
      <c r="AG63" s="247"/>
      <c r="AH63" s="247"/>
      <c r="AI63" s="247"/>
      <c r="AJ63" s="247"/>
      <c r="AK63" s="247" t="s">
        <v>201</v>
      </c>
      <c r="AL63" s="247"/>
      <c r="AM63" s="247"/>
      <c r="AN63" s="247"/>
      <c r="AO63" s="247"/>
      <c r="AP63" s="313" t="s">
        <v>201</v>
      </c>
      <c r="AQ63" s="313"/>
      <c r="AR63" s="313"/>
      <c r="AS63" s="313"/>
      <c r="AT63" s="313"/>
    </row>
    <row r="64" spans="2:51" ht="45" customHeight="1" x14ac:dyDescent="0.3">
      <c r="B64" s="314"/>
      <c r="C64" s="314"/>
      <c r="D64" s="314"/>
      <c r="E64" s="314"/>
      <c r="F64" s="314"/>
      <c r="G64" s="272"/>
      <c r="H64" s="272"/>
      <c r="I64" s="272"/>
      <c r="J64" s="272"/>
      <c r="K64" s="272"/>
      <c r="L64" s="272"/>
      <c r="M64" s="272"/>
      <c r="N64" s="272"/>
      <c r="O64" s="272"/>
      <c r="P64" s="272"/>
      <c r="Q64" s="272"/>
      <c r="R64" s="272"/>
      <c r="S64" s="272"/>
      <c r="T64" s="272"/>
      <c r="U64" s="272"/>
      <c r="V64" s="272"/>
      <c r="W64" s="272"/>
      <c r="X64" s="272"/>
      <c r="Y64" s="272"/>
      <c r="Z64" s="272"/>
      <c r="AA64" s="272"/>
      <c r="AB64" s="272"/>
      <c r="AC64" s="272"/>
      <c r="AD64" s="272"/>
      <c r="AE64" s="272"/>
      <c r="AF64" s="247"/>
      <c r="AG64" s="247"/>
      <c r="AH64" s="247"/>
      <c r="AI64" s="247"/>
      <c r="AJ64" s="247"/>
      <c r="AK64" s="247"/>
      <c r="AL64" s="247"/>
      <c r="AM64" s="247"/>
      <c r="AN64" s="247"/>
      <c r="AO64" s="247"/>
      <c r="AP64" s="313"/>
      <c r="AQ64" s="313"/>
      <c r="AR64" s="313"/>
      <c r="AS64" s="313"/>
      <c r="AT64" s="313"/>
    </row>
    <row r="65" spans="2:46" ht="45" customHeight="1" x14ac:dyDescent="0.3">
      <c r="B65" s="315" t="s">
        <v>202</v>
      </c>
      <c r="C65" s="315"/>
      <c r="D65" s="315"/>
      <c r="E65" s="315"/>
      <c r="F65" s="315"/>
      <c r="G65" s="316" t="s">
        <v>202</v>
      </c>
      <c r="H65" s="316"/>
      <c r="I65" s="316"/>
      <c r="J65" s="316"/>
      <c r="K65" s="316"/>
      <c r="L65" s="316" t="s">
        <v>202</v>
      </c>
      <c r="M65" s="316"/>
      <c r="N65" s="316"/>
      <c r="O65" s="316"/>
      <c r="P65" s="316"/>
      <c r="Q65" s="316" t="s">
        <v>202</v>
      </c>
      <c r="R65" s="316"/>
      <c r="S65" s="316"/>
      <c r="T65" s="316"/>
      <c r="U65" s="316"/>
      <c r="V65" s="316" t="s">
        <v>202</v>
      </c>
      <c r="W65" s="316"/>
      <c r="X65" s="316"/>
      <c r="Y65" s="316"/>
      <c r="Z65" s="316"/>
      <c r="AA65" s="316" t="s">
        <v>202</v>
      </c>
      <c r="AB65" s="316"/>
      <c r="AC65" s="316"/>
      <c r="AD65" s="316"/>
      <c r="AE65" s="316"/>
      <c r="AF65" s="317" t="s">
        <v>202</v>
      </c>
      <c r="AG65" s="317"/>
      <c r="AH65" s="317"/>
      <c r="AI65" s="317"/>
      <c r="AJ65" s="317"/>
      <c r="AK65" s="317" t="s">
        <v>202</v>
      </c>
      <c r="AL65" s="317"/>
      <c r="AM65" s="317"/>
      <c r="AN65" s="317"/>
      <c r="AO65" s="317"/>
      <c r="AP65" s="318" t="s">
        <v>202</v>
      </c>
      <c r="AQ65" s="318"/>
      <c r="AR65" s="318"/>
      <c r="AS65" s="318"/>
      <c r="AT65" s="318"/>
    </row>
    <row r="66" spans="2:46" ht="45" customHeight="1" x14ac:dyDescent="0.3">
      <c r="B66" s="314" t="s">
        <v>203</v>
      </c>
      <c r="C66" s="314"/>
      <c r="D66" s="314"/>
      <c r="E66" s="314"/>
      <c r="F66" s="314"/>
      <c r="G66" s="272"/>
      <c r="H66" s="272"/>
      <c r="I66" s="272"/>
      <c r="J66" s="272"/>
      <c r="K66" s="272"/>
      <c r="L66" s="272"/>
      <c r="M66" s="272"/>
      <c r="N66" s="272"/>
      <c r="O66" s="272"/>
      <c r="P66" s="272"/>
      <c r="Q66" s="272"/>
      <c r="R66" s="272"/>
      <c r="S66" s="272"/>
      <c r="T66" s="272"/>
      <c r="U66" s="272"/>
      <c r="V66" s="272" t="s">
        <v>203</v>
      </c>
      <c r="W66" s="272"/>
      <c r="X66" s="272"/>
      <c r="Y66" s="272"/>
      <c r="Z66" s="272"/>
      <c r="AA66" s="272" t="s">
        <v>203</v>
      </c>
      <c r="AB66" s="272"/>
      <c r="AC66" s="272"/>
      <c r="AD66" s="272"/>
      <c r="AE66" s="272"/>
      <c r="AF66" s="247" t="s">
        <v>203</v>
      </c>
      <c r="AG66" s="247"/>
      <c r="AH66" s="247"/>
      <c r="AI66" s="247"/>
      <c r="AJ66" s="247"/>
      <c r="AK66" s="247" t="s">
        <v>203</v>
      </c>
      <c r="AL66" s="247"/>
      <c r="AM66" s="247"/>
      <c r="AN66" s="247"/>
      <c r="AO66" s="247"/>
      <c r="AP66" s="313" t="s">
        <v>203</v>
      </c>
      <c r="AQ66" s="313"/>
      <c r="AR66" s="313"/>
      <c r="AS66" s="313"/>
      <c r="AT66" s="313"/>
    </row>
    <row r="67" spans="2:46" ht="45" customHeight="1" x14ac:dyDescent="0.3">
      <c r="B67" s="314" t="s">
        <v>204</v>
      </c>
      <c r="C67" s="314"/>
      <c r="D67" s="314"/>
      <c r="E67" s="314"/>
      <c r="F67" s="314"/>
      <c r="G67" s="272" t="s">
        <v>204</v>
      </c>
      <c r="H67" s="272"/>
      <c r="I67" s="272"/>
      <c r="J67" s="272"/>
      <c r="K67" s="272"/>
      <c r="L67" s="272" t="s">
        <v>204</v>
      </c>
      <c r="M67" s="272"/>
      <c r="N67" s="272"/>
      <c r="O67" s="272"/>
      <c r="P67" s="272"/>
      <c r="Q67" s="272" t="s">
        <v>204</v>
      </c>
      <c r="R67" s="272"/>
      <c r="S67" s="272"/>
      <c r="T67" s="272"/>
      <c r="U67" s="272"/>
      <c r="V67" s="272"/>
      <c r="W67" s="272"/>
      <c r="X67" s="272"/>
      <c r="Y67" s="272"/>
      <c r="Z67" s="272"/>
      <c r="AA67" s="272"/>
      <c r="AB67" s="272"/>
      <c r="AC67" s="272"/>
      <c r="AD67" s="272"/>
      <c r="AE67" s="272"/>
      <c r="AF67" s="247"/>
      <c r="AG67" s="247"/>
      <c r="AH67" s="247"/>
      <c r="AI67" s="247"/>
      <c r="AJ67" s="247"/>
      <c r="AK67" s="247"/>
      <c r="AL67" s="247"/>
      <c r="AM67" s="247"/>
      <c r="AN67" s="247"/>
      <c r="AO67" s="247"/>
      <c r="AP67" s="313"/>
      <c r="AQ67" s="313"/>
      <c r="AR67" s="313"/>
      <c r="AS67" s="313"/>
      <c r="AT67" s="313"/>
    </row>
    <row r="68" spans="2:46" ht="45" customHeight="1" x14ac:dyDescent="0.3">
      <c r="B68" s="314" t="s">
        <v>205</v>
      </c>
      <c r="C68" s="314"/>
      <c r="D68" s="314"/>
      <c r="E68" s="314"/>
      <c r="F68" s="314"/>
      <c r="G68" s="272" t="s">
        <v>205</v>
      </c>
      <c r="H68" s="272"/>
      <c r="I68" s="272"/>
      <c r="J68" s="272"/>
      <c r="K68" s="272"/>
      <c r="L68" s="272" t="s">
        <v>205</v>
      </c>
      <c r="M68" s="272"/>
      <c r="N68" s="272"/>
      <c r="O68" s="272"/>
      <c r="P68" s="272"/>
      <c r="Q68" s="272" t="s">
        <v>205</v>
      </c>
      <c r="R68" s="272"/>
      <c r="S68" s="272"/>
      <c r="T68" s="272"/>
      <c r="U68" s="272"/>
      <c r="V68" s="272"/>
      <c r="W68" s="272"/>
      <c r="X68" s="272"/>
      <c r="Y68" s="272"/>
      <c r="Z68" s="272"/>
      <c r="AA68" s="272"/>
      <c r="AB68" s="272"/>
      <c r="AC68" s="272"/>
      <c r="AD68" s="272"/>
      <c r="AE68" s="272"/>
      <c r="AF68" s="247"/>
      <c r="AG68" s="247"/>
      <c r="AH68" s="247"/>
      <c r="AI68" s="247"/>
      <c r="AJ68" s="247"/>
      <c r="AK68" s="247"/>
      <c r="AL68" s="247"/>
      <c r="AM68" s="247"/>
      <c r="AN68" s="247"/>
      <c r="AO68" s="247"/>
      <c r="AP68" s="313"/>
      <c r="AQ68" s="313"/>
      <c r="AR68" s="313"/>
      <c r="AS68" s="313"/>
      <c r="AT68" s="313"/>
    </row>
    <row r="69" spans="2:46" ht="45" customHeight="1" x14ac:dyDescent="0.3">
      <c r="B69" s="314"/>
      <c r="C69" s="314"/>
      <c r="D69" s="314"/>
      <c r="E69" s="314"/>
      <c r="F69" s="314"/>
      <c r="G69" s="272"/>
      <c r="H69" s="272"/>
      <c r="I69" s="272"/>
      <c r="J69" s="272"/>
      <c r="K69" s="272"/>
      <c r="L69" s="272"/>
      <c r="M69" s="272"/>
      <c r="N69" s="272"/>
      <c r="O69" s="272"/>
      <c r="P69" s="272"/>
      <c r="Q69" s="272"/>
      <c r="R69" s="272"/>
      <c r="S69" s="272"/>
      <c r="T69" s="272"/>
      <c r="U69" s="272"/>
      <c r="V69" s="272"/>
      <c r="W69" s="272"/>
      <c r="X69" s="272"/>
      <c r="Y69" s="272"/>
      <c r="Z69" s="272"/>
      <c r="AA69" s="272"/>
      <c r="AB69" s="272"/>
      <c r="AC69" s="272"/>
      <c r="AD69" s="272"/>
      <c r="AE69" s="272"/>
      <c r="AF69" s="247"/>
      <c r="AG69" s="247"/>
      <c r="AH69" s="247"/>
      <c r="AI69" s="247"/>
      <c r="AJ69" s="247"/>
      <c r="AK69" s="247"/>
      <c r="AL69" s="247"/>
      <c r="AM69" s="247"/>
      <c r="AN69" s="247"/>
      <c r="AO69" s="247"/>
      <c r="AP69" s="313"/>
      <c r="AQ69" s="313"/>
      <c r="AR69" s="313"/>
      <c r="AS69" s="313"/>
      <c r="AT69" s="313"/>
    </row>
    <row r="70" spans="2:46" ht="45" customHeight="1" x14ac:dyDescent="0.3">
      <c r="B70" s="315" t="s">
        <v>206</v>
      </c>
      <c r="C70" s="315"/>
      <c r="D70" s="315"/>
      <c r="E70" s="315"/>
      <c r="F70" s="315"/>
      <c r="G70" s="316" t="s">
        <v>206</v>
      </c>
      <c r="H70" s="316"/>
      <c r="I70" s="316"/>
      <c r="J70" s="316"/>
      <c r="K70" s="316"/>
      <c r="L70" s="316" t="s">
        <v>206</v>
      </c>
      <c r="M70" s="316"/>
      <c r="N70" s="316"/>
      <c r="O70" s="316"/>
      <c r="P70" s="316"/>
      <c r="Q70" s="316" t="s">
        <v>206</v>
      </c>
      <c r="R70" s="316"/>
      <c r="S70" s="316"/>
      <c r="T70" s="316"/>
      <c r="U70" s="316"/>
      <c r="V70" s="316" t="s">
        <v>206</v>
      </c>
      <c r="W70" s="316"/>
      <c r="X70" s="316"/>
      <c r="Y70" s="316"/>
      <c r="Z70" s="316"/>
      <c r="AA70" s="316" t="s">
        <v>206</v>
      </c>
      <c r="AB70" s="316"/>
      <c r="AC70" s="316"/>
      <c r="AD70" s="316"/>
      <c r="AE70" s="316"/>
      <c r="AF70" s="317" t="s">
        <v>206</v>
      </c>
      <c r="AG70" s="317"/>
      <c r="AH70" s="317"/>
      <c r="AI70" s="317"/>
      <c r="AJ70" s="317"/>
      <c r="AK70" s="317" t="s">
        <v>206</v>
      </c>
      <c r="AL70" s="317"/>
      <c r="AM70" s="317"/>
      <c r="AN70" s="317"/>
      <c r="AO70" s="317"/>
      <c r="AP70" s="318" t="s">
        <v>206</v>
      </c>
      <c r="AQ70" s="318"/>
      <c r="AR70" s="318"/>
      <c r="AS70" s="318"/>
      <c r="AT70" s="318"/>
    </row>
    <row r="71" spans="2:46" ht="45" customHeight="1" x14ac:dyDescent="0.3">
      <c r="B71" s="314" t="s">
        <v>207</v>
      </c>
      <c r="C71" s="314"/>
      <c r="D71" s="314"/>
      <c r="E71" s="314"/>
      <c r="F71" s="314"/>
      <c r="G71" s="272"/>
      <c r="H71" s="272"/>
      <c r="I71" s="272"/>
      <c r="J71" s="272"/>
      <c r="K71" s="272"/>
      <c r="L71" s="272"/>
      <c r="M71" s="272"/>
      <c r="N71" s="272"/>
      <c r="O71" s="272"/>
      <c r="P71" s="272"/>
      <c r="Q71" s="272" t="s">
        <v>207</v>
      </c>
      <c r="R71" s="272"/>
      <c r="S71" s="272"/>
      <c r="T71" s="272"/>
      <c r="U71" s="272"/>
      <c r="V71" s="272" t="s">
        <v>207</v>
      </c>
      <c r="W71" s="272"/>
      <c r="X71" s="272"/>
      <c r="Y71" s="272"/>
      <c r="Z71" s="272"/>
      <c r="AA71" s="272" t="s">
        <v>207</v>
      </c>
      <c r="AB71" s="272"/>
      <c r="AC71" s="272"/>
      <c r="AD71" s="272"/>
      <c r="AE71" s="272"/>
      <c r="AF71" s="247" t="s">
        <v>207</v>
      </c>
      <c r="AG71" s="247"/>
      <c r="AH71" s="247"/>
      <c r="AI71" s="247"/>
      <c r="AJ71" s="247"/>
      <c r="AK71" s="247" t="s">
        <v>207</v>
      </c>
      <c r="AL71" s="247"/>
      <c r="AM71" s="247"/>
      <c r="AN71" s="247"/>
      <c r="AO71" s="247"/>
      <c r="AP71" s="313" t="s">
        <v>207</v>
      </c>
      <c r="AQ71" s="313"/>
      <c r="AR71" s="313"/>
      <c r="AS71" s="313"/>
      <c r="AT71" s="313"/>
    </row>
    <row r="72" spans="2:46" ht="45" customHeight="1" x14ac:dyDescent="0.3">
      <c r="B72" s="314" t="s">
        <v>208</v>
      </c>
      <c r="C72" s="314"/>
      <c r="D72" s="314"/>
      <c r="E72" s="314"/>
      <c r="F72" s="314"/>
      <c r="G72" s="272"/>
      <c r="H72" s="272"/>
      <c r="I72" s="272"/>
      <c r="J72" s="272"/>
      <c r="K72" s="272"/>
      <c r="L72" s="272"/>
      <c r="M72" s="272"/>
      <c r="N72" s="272"/>
      <c r="O72" s="272"/>
      <c r="P72" s="272"/>
      <c r="Q72" s="272" t="s">
        <v>208</v>
      </c>
      <c r="R72" s="272"/>
      <c r="S72" s="272"/>
      <c r="T72" s="272"/>
      <c r="U72" s="272"/>
      <c r="V72" s="272" t="s">
        <v>208</v>
      </c>
      <c r="W72" s="272"/>
      <c r="X72" s="272"/>
      <c r="Y72" s="272"/>
      <c r="Z72" s="272"/>
      <c r="AA72" s="272" t="s">
        <v>208</v>
      </c>
      <c r="AB72" s="272"/>
      <c r="AC72" s="272"/>
      <c r="AD72" s="272"/>
      <c r="AE72" s="272"/>
      <c r="AF72" s="247" t="s">
        <v>208</v>
      </c>
      <c r="AG72" s="247"/>
      <c r="AH72" s="247"/>
      <c r="AI72" s="247"/>
      <c r="AJ72" s="247"/>
      <c r="AK72" s="247" t="s">
        <v>208</v>
      </c>
      <c r="AL72" s="247"/>
      <c r="AM72" s="247"/>
      <c r="AN72" s="247"/>
      <c r="AO72" s="247"/>
      <c r="AP72" s="313" t="s">
        <v>208</v>
      </c>
      <c r="AQ72" s="313"/>
      <c r="AR72" s="313"/>
      <c r="AS72" s="313"/>
      <c r="AT72" s="313"/>
    </row>
    <row r="73" spans="2:46" ht="45" customHeight="1" x14ac:dyDescent="0.3">
      <c r="B73" s="314" t="s">
        <v>209</v>
      </c>
      <c r="C73" s="314"/>
      <c r="D73" s="314"/>
      <c r="E73" s="314"/>
      <c r="F73" s="314"/>
      <c r="G73" s="272" t="s">
        <v>209</v>
      </c>
      <c r="H73" s="272"/>
      <c r="I73" s="272"/>
      <c r="J73" s="272"/>
      <c r="K73" s="272"/>
      <c r="L73" s="272"/>
      <c r="M73" s="272"/>
      <c r="N73" s="272"/>
      <c r="O73" s="272"/>
      <c r="P73" s="272"/>
      <c r="Q73" s="272" t="s">
        <v>209</v>
      </c>
      <c r="R73" s="272"/>
      <c r="S73" s="272"/>
      <c r="T73" s="272"/>
      <c r="U73" s="272"/>
      <c r="V73" s="272" t="s">
        <v>209</v>
      </c>
      <c r="W73" s="272"/>
      <c r="X73" s="272"/>
      <c r="Y73" s="272"/>
      <c r="Z73" s="272"/>
      <c r="AA73" s="272" t="s">
        <v>209</v>
      </c>
      <c r="AB73" s="272"/>
      <c r="AC73" s="272"/>
      <c r="AD73" s="272"/>
      <c r="AE73" s="272"/>
      <c r="AF73" s="247" t="s">
        <v>209</v>
      </c>
      <c r="AG73" s="247"/>
      <c r="AH73" s="247"/>
      <c r="AI73" s="247"/>
      <c r="AJ73" s="247"/>
      <c r="AK73" s="247" t="s">
        <v>209</v>
      </c>
      <c r="AL73" s="247"/>
      <c r="AM73" s="247"/>
      <c r="AN73" s="247"/>
      <c r="AO73" s="247"/>
      <c r="AP73" s="313" t="s">
        <v>209</v>
      </c>
      <c r="AQ73" s="313"/>
      <c r="AR73" s="313"/>
      <c r="AS73" s="313"/>
      <c r="AT73" s="313"/>
    </row>
    <row r="74" spans="2:46" ht="45" customHeight="1" x14ac:dyDescent="0.3">
      <c r="B74" s="314" t="s">
        <v>210</v>
      </c>
      <c r="C74" s="314"/>
      <c r="D74" s="314"/>
      <c r="E74" s="314"/>
      <c r="F74" s="314"/>
      <c r="G74" s="272" t="s">
        <v>210</v>
      </c>
      <c r="H74" s="272"/>
      <c r="I74" s="272"/>
      <c r="J74" s="272"/>
      <c r="K74" s="272"/>
      <c r="L74" s="272" t="s">
        <v>210</v>
      </c>
      <c r="M74" s="272"/>
      <c r="N74" s="272"/>
      <c r="O74" s="272"/>
      <c r="P74" s="272"/>
      <c r="Q74" s="272" t="s">
        <v>210</v>
      </c>
      <c r="R74" s="272"/>
      <c r="S74" s="272"/>
      <c r="T74" s="272"/>
      <c r="U74" s="272"/>
      <c r="V74" s="272" t="s">
        <v>210</v>
      </c>
      <c r="W74" s="272"/>
      <c r="X74" s="272"/>
      <c r="Y74" s="272"/>
      <c r="Z74" s="272"/>
      <c r="AA74" s="272" t="s">
        <v>210</v>
      </c>
      <c r="AB74" s="272"/>
      <c r="AC74" s="272"/>
      <c r="AD74" s="272"/>
      <c r="AE74" s="272"/>
      <c r="AF74" s="247" t="s">
        <v>210</v>
      </c>
      <c r="AG74" s="247"/>
      <c r="AH74" s="247"/>
      <c r="AI74" s="247"/>
      <c r="AJ74" s="247"/>
      <c r="AK74" s="247" t="s">
        <v>210</v>
      </c>
      <c r="AL74" s="247"/>
      <c r="AM74" s="247"/>
      <c r="AN74" s="247"/>
      <c r="AO74" s="247"/>
      <c r="AP74" s="313" t="s">
        <v>210</v>
      </c>
      <c r="AQ74" s="313"/>
      <c r="AR74" s="313"/>
      <c r="AS74" s="313"/>
      <c r="AT74" s="313"/>
    </row>
    <row r="75" spans="2:46" ht="45" customHeight="1" x14ac:dyDescent="0.3">
      <c r="B75" s="314"/>
      <c r="C75" s="314"/>
      <c r="D75" s="314"/>
      <c r="E75" s="314"/>
      <c r="F75" s="314"/>
      <c r="G75" s="272"/>
      <c r="H75" s="272"/>
      <c r="I75" s="272"/>
      <c r="J75" s="272"/>
      <c r="K75" s="272"/>
      <c r="L75" s="272"/>
      <c r="M75" s="272"/>
      <c r="N75" s="272"/>
      <c r="O75" s="272"/>
      <c r="P75" s="272"/>
      <c r="Q75" s="272"/>
      <c r="R75" s="272"/>
      <c r="S75" s="272"/>
      <c r="T75" s="272"/>
      <c r="U75" s="272"/>
      <c r="V75" s="272"/>
      <c r="W75" s="272"/>
      <c r="X75" s="272"/>
      <c r="Y75" s="272"/>
      <c r="Z75" s="272"/>
      <c r="AA75" s="272"/>
      <c r="AB75" s="272"/>
      <c r="AC75" s="272"/>
      <c r="AD75" s="272"/>
      <c r="AE75" s="272"/>
      <c r="AF75" s="247"/>
      <c r="AG75" s="247"/>
      <c r="AH75" s="247"/>
      <c r="AI75" s="247"/>
      <c r="AJ75" s="247"/>
      <c r="AK75" s="247"/>
      <c r="AL75" s="247"/>
      <c r="AM75" s="247"/>
      <c r="AN75" s="247"/>
      <c r="AO75" s="247"/>
      <c r="AP75" s="313"/>
      <c r="AQ75" s="313"/>
      <c r="AR75" s="313"/>
      <c r="AS75" s="313"/>
      <c r="AT75" s="313"/>
    </row>
    <row r="76" spans="2:46" ht="45" customHeight="1" x14ac:dyDescent="0.3">
      <c r="B76" s="315" t="s">
        <v>211</v>
      </c>
      <c r="C76" s="315"/>
      <c r="D76" s="315"/>
      <c r="E76" s="315"/>
      <c r="F76" s="315"/>
      <c r="G76" s="316" t="s">
        <v>211</v>
      </c>
      <c r="H76" s="316"/>
      <c r="I76" s="316"/>
      <c r="J76" s="316"/>
      <c r="K76" s="316"/>
      <c r="L76" s="316" t="s">
        <v>211</v>
      </c>
      <c r="M76" s="316"/>
      <c r="N76" s="316"/>
      <c r="O76" s="316"/>
      <c r="P76" s="316"/>
      <c r="Q76" s="316" t="s">
        <v>211</v>
      </c>
      <c r="R76" s="316"/>
      <c r="S76" s="316"/>
      <c r="T76" s="316"/>
      <c r="U76" s="316"/>
      <c r="V76" s="316" t="s">
        <v>211</v>
      </c>
      <c r="W76" s="316"/>
      <c r="X76" s="316"/>
      <c r="Y76" s="316"/>
      <c r="Z76" s="316"/>
      <c r="AA76" s="316" t="s">
        <v>211</v>
      </c>
      <c r="AB76" s="316"/>
      <c r="AC76" s="316"/>
      <c r="AD76" s="316"/>
      <c r="AE76" s="316"/>
      <c r="AF76" s="317" t="s">
        <v>211</v>
      </c>
      <c r="AG76" s="317"/>
      <c r="AH76" s="317"/>
      <c r="AI76" s="317"/>
      <c r="AJ76" s="317"/>
      <c r="AK76" s="317" t="s">
        <v>211</v>
      </c>
      <c r="AL76" s="317"/>
      <c r="AM76" s="317"/>
      <c r="AN76" s="317"/>
      <c r="AO76" s="317"/>
      <c r="AP76" s="318" t="s">
        <v>211</v>
      </c>
      <c r="AQ76" s="318"/>
      <c r="AR76" s="318"/>
      <c r="AS76" s="318"/>
      <c r="AT76" s="318"/>
    </row>
    <row r="77" spans="2:46" ht="45" customHeight="1" x14ac:dyDescent="0.3">
      <c r="B77" s="314" t="s">
        <v>212</v>
      </c>
      <c r="C77" s="314"/>
      <c r="D77" s="314"/>
      <c r="E77" s="314"/>
      <c r="F77" s="314"/>
      <c r="G77" s="272" t="s">
        <v>212</v>
      </c>
      <c r="H77" s="272"/>
      <c r="I77" s="272"/>
      <c r="J77" s="272"/>
      <c r="K77" s="272"/>
      <c r="L77" s="272"/>
      <c r="M77" s="272"/>
      <c r="N77" s="272"/>
      <c r="O77" s="272"/>
      <c r="P77" s="272"/>
      <c r="Q77" s="272"/>
      <c r="R77" s="272"/>
      <c r="S77" s="272"/>
      <c r="T77" s="272"/>
      <c r="U77" s="272"/>
      <c r="V77" s="272" t="s">
        <v>212</v>
      </c>
      <c r="W77" s="272"/>
      <c r="X77" s="272"/>
      <c r="Y77" s="272"/>
      <c r="Z77" s="272"/>
      <c r="AA77" s="272"/>
      <c r="AB77" s="272"/>
      <c r="AC77" s="272"/>
      <c r="AD77" s="272"/>
      <c r="AE77" s="272"/>
      <c r="AF77" s="247"/>
      <c r="AG77" s="247"/>
      <c r="AH77" s="247"/>
      <c r="AI77" s="247"/>
      <c r="AJ77" s="247"/>
      <c r="AK77" s="247"/>
      <c r="AL77" s="247"/>
      <c r="AM77" s="247"/>
      <c r="AN77" s="247"/>
      <c r="AO77" s="247"/>
      <c r="AP77" s="313"/>
      <c r="AQ77" s="313"/>
      <c r="AR77" s="313"/>
      <c r="AS77" s="313"/>
      <c r="AT77" s="313"/>
    </row>
    <row r="78" spans="2:46" ht="45" customHeight="1" x14ac:dyDescent="0.3">
      <c r="B78" s="314" t="s">
        <v>213</v>
      </c>
      <c r="C78" s="314"/>
      <c r="D78" s="314"/>
      <c r="E78" s="314"/>
      <c r="F78" s="314"/>
      <c r="G78" s="272"/>
      <c r="H78" s="272"/>
      <c r="I78" s="272"/>
      <c r="J78" s="272"/>
      <c r="K78" s="272"/>
      <c r="L78" s="272"/>
      <c r="M78" s="272"/>
      <c r="N78" s="272"/>
      <c r="O78" s="272"/>
      <c r="P78" s="272"/>
      <c r="Q78" s="272"/>
      <c r="R78" s="272"/>
      <c r="S78" s="272"/>
      <c r="T78" s="272"/>
      <c r="U78" s="272"/>
      <c r="V78" s="272" t="s">
        <v>213</v>
      </c>
      <c r="W78" s="272"/>
      <c r="X78" s="272"/>
      <c r="Y78" s="272"/>
      <c r="Z78" s="272"/>
      <c r="AA78" s="272" t="s">
        <v>213</v>
      </c>
      <c r="AB78" s="272"/>
      <c r="AC78" s="272"/>
      <c r="AD78" s="272"/>
      <c r="AE78" s="272"/>
      <c r="AF78" s="247"/>
      <c r="AG78" s="247"/>
      <c r="AH78" s="247"/>
      <c r="AI78" s="247"/>
      <c r="AJ78" s="247"/>
      <c r="AK78" s="247"/>
      <c r="AL78" s="247"/>
      <c r="AM78" s="247"/>
      <c r="AN78" s="247"/>
      <c r="AO78" s="247"/>
      <c r="AP78" s="313"/>
      <c r="AQ78" s="313"/>
      <c r="AR78" s="313"/>
      <c r="AS78" s="313"/>
      <c r="AT78" s="313"/>
    </row>
    <row r="79" spans="2:46" ht="45" customHeight="1" x14ac:dyDescent="0.3">
      <c r="B79" s="314" t="s">
        <v>214</v>
      </c>
      <c r="C79" s="314"/>
      <c r="D79" s="314"/>
      <c r="E79" s="314"/>
      <c r="F79" s="314"/>
      <c r="G79" s="272"/>
      <c r="H79" s="272"/>
      <c r="I79" s="272"/>
      <c r="J79" s="272"/>
      <c r="K79" s="272"/>
      <c r="L79" s="272"/>
      <c r="M79" s="272"/>
      <c r="N79" s="272"/>
      <c r="O79" s="272"/>
      <c r="P79" s="272"/>
      <c r="Q79" s="272"/>
      <c r="R79" s="272"/>
      <c r="S79" s="272"/>
      <c r="T79" s="272"/>
      <c r="U79" s="272"/>
      <c r="V79" s="272" t="s">
        <v>214</v>
      </c>
      <c r="W79" s="272"/>
      <c r="X79" s="272"/>
      <c r="Y79" s="272"/>
      <c r="Z79" s="272"/>
      <c r="AA79" s="272"/>
      <c r="AB79" s="272"/>
      <c r="AC79" s="272"/>
      <c r="AD79" s="272"/>
      <c r="AE79" s="272"/>
      <c r="AF79" s="247"/>
      <c r="AG79" s="247"/>
      <c r="AH79" s="247"/>
      <c r="AI79" s="247"/>
      <c r="AJ79" s="247"/>
      <c r="AK79" s="247"/>
      <c r="AL79" s="247"/>
      <c r="AM79" s="247"/>
      <c r="AN79" s="247"/>
      <c r="AO79" s="247"/>
      <c r="AP79" s="313"/>
      <c r="AQ79" s="313"/>
      <c r="AR79" s="313"/>
      <c r="AS79" s="313"/>
      <c r="AT79" s="313"/>
    </row>
    <row r="80" spans="2:46" ht="45" customHeight="1" x14ac:dyDescent="0.3">
      <c r="B80" s="319" t="s">
        <v>215</v>
      </c>
      <c r="C80" s="319"/>
      <c r="D80" s="319"/>
      <c r="E80" s="319"/>
      <c r="F80" s="319"/>
      <c r="G80" s="279" t="s">
        <v>215</v>
      </c>
      <c r="H80" s="279"/>
      <c r="I80" s="279"/>
      <c r="J80" s="279"/>
      <c r="K80" s="279"/>
      <c r="L80" s="279" t="s">
        <v>215</v>
      </c>
      <c r="M80" s="279"/>
      <c r="N80" s="279"/>
      <c r="O80" s="279"/>
      <c r="P80" s="279"/>
      <c r="Q80" s="279" t="s">
        <v>215</v>
      </c>
      <c r="R80" s="279"/>
      <c r="S80" s="279"/>
      <c r="T80" s="279"/>
      <c r="U80" s="279"/>
      <c r="V80" s="279" t="s">
        <v>215</v>
      </c>
      <c r="W80" s="279"/>
      <c r="X80" s="279"/>
      <c r="Y80" s="279"/>
      <c r="Z80" s="279"/>
      <c r="AA80" s="279" t="s">
        <v>215</v>
      </c>
      <c r="AB80" s="279"/>
      <c r="AC80" s="279"/>
      <c r="AD80" s="279"/>
      <c r="AE80" s="279"/>
      <c r="AF80" s="250" t="s">
        <v>215</v>
      </c>
      <c r="AG80" s="250"/>
      <c r="AH80" s="250"/>
      <c r="AI80" s="250"/>
      <c r="AJ80" s="250"/>
      <c r="AK80" s="250" t="s">
        <v>215</v>
      </c>
      <c r="AL80" s="250"/>
      <c r="AM80" s="250"/>
      <c r="AN80" s="250"/>
      <c r="AO80" s="250"/>
      <c r="AP80" s="320" t="s">
        <v>215</v>
      </c>
      <c r="AQ80" s="320"/>
      <c r="AR80" s="320"/>
      <c r="AS80" s="320"/>
      <c r="AT80" s="320"/>
    </row>
    <row r="81" spans="2:46" ht="45" customHeight="1" x14ac:dyDescent="0.3">
      <c r="B81" s="314"/>
      <c r="C81" s="314"/>
      <c r="D81" s="314"/>
      <c r="E81" s="314"/>
      <c r="F81" s="314"/>
      <c r="G81" s="272"/>
      <c r="H81" s="272"/>
      <c r="I81" s="272"/>
      <c r="J81" s="272"/>
      <c r="K81" s="272"/>
      <c r="L81" s="272"/>
      <c r="M81" s="272"/>
      <c r="N81" s="272"/>
      <c r="O81" s="272"/>
      <c r="P81" s="272"/>
      <c r="Q81" s="272"/>
      <c r="R81" s="272"/>
      <c r="S81" s="272"/>
      <c r="T81" s="272"/>
      <c r="U81" s="272"/>
      <c r="V81" s="272"/>
      <c r="W81" s="272"/>
      <c r="X81" s="272"/>
      <c r="Y81" s="272"/>
      <c r="Z81" s="272"/>
      <c r="AA81" s="272"/>
      <c r="AB81" s="272"/>
      <c r="AC81" s="272"/>
      <c r="AD81" s="272"/>
      <c r="AE81" s="272"/>
      <c r="AF81" s="247"/>
      <c r="AG81" s="247"/>
      <c r="AH81" s="247"/>
      <c r="AI81" s="247"/>
      <c r="AJ81" s="247"/>
      <c r="AK81" s="247"/>
      <c r="AL81" s="247"/>
      <c r="AM81" s="247"/>
      <c r="AN81" s="247"/>
      <c r="AO81" s="247"/>
      <c r="AP81" s="313"/>
      <c r="AQ81" s="313"/>
      <c r="AR81" s="313"/>
      <c r="AS81" s="313"/>
      <c r="AT81" s="313"/>
    </row>
    <row r="82" spans="2:46" ht="45" customHeight="1" x14ac:dyDescent="0.3">
      <c r="B82" s="315" t="s">
        <v>216</v>
      </c>
      <c r="C82" s="315"/>
      <c r="D82" s="315"/>
      <c r="E82" s="315"/>
      <c r="F82" s="315"/>
      <c r="G82" s="316" t="s">
        <v>216</v>
      </c>
      <c r="H82" s="316"/>
      <c r="I82" s="316"/>
      <c r="J82" s="316"/>
      <c r="K82" s="316"/>
      <c r="L82" s="316" t="s">
        <v>216</v>
      </c>
      <c r="M82" s="316"/>
      <c r="N82" s="316"/>
      <c r="O82" s="316"/>
      <c r="P82" s="316"/>
      <c r="Q82" s="316" t="s">
        <v>216</v>
      </c>
      <c r="R82" s="316"/>
      <c r="S82" s="316"/>
      <c r="T82" s="316"/>
      <c r="U82" s="316"/>
      <c r="V82" s="316" t="s">
        <v>216</v>
      </c>
      <c r="W82" s="316"/>
      <c r="X82" s="316"/>
      <c r="Y82" s="316"/>
      <c r="Z82" s="316"/>
      <c r="AA82" s="316" t="s">
        <v>216</v>
      </c>
      <c r="AB82" s="316"/>
      <c r="AC82" s="316"/>
      <c r="AD82" s="316"/>
      <c r="AE82" s="316"/>
      <c r="AF82" s="317" t="s">
        <v>216</v>
      </c>
      <c r="AG82" s="317"/>
      <c r="AH82" s="317"/>
      <c r="AI82" s="317"/>
      <c r="AJ82" s="317"/>
      <c r="AK82" s="317" t="s">
        <v>216</v>
      </c>
      <c r="AL82" s="317"/>
      <c r="AM82" s="317"/>
      <c r="AN82" s="317"/>
      <c r="AO82" s="317"/>
      <c r="AP82" s="318" t="s">
        <v>216</v>
      </c>
      <c r="AQ82" s="318"/>
      <c r="AR82" s="318"/>
      <c r="AS82" s="318"/>
      <c r="AT82" s="318"/>
    </row>
    <row r="83" spans="2:46" ht="45" customHeight="1" x14ac:dyDescent="0.3">
      <c r="B83" s="314" t="s">
        <v>217</v>
      </c>
      <c r="C83" s="314"/>
      <c r="D83" s="314"/>
      <c r="E83" s="314"/>
      <c r="F83" s="314"/>
      <c r="G83" s="272"/>
      <c r="H83" s="272"/>
      <c r="I83" s="272"/>
      <c r="J83" s="272"/>
      <c r="K83" s="272"/>
      <c r="L83" s="272" t="s">
        <v>217</v>
      </c>
      <c r="M83" s="272"/>
      <c r="N83" s="272"/>
      <c r="O83" s="272"/>
      <c r="P83" s="272"/>
      <c r="Q83" s="272" t="s">
        <v>217</v>
      </c>
      <c r="R83" s="272"/>
      <c r="S83" s="272"/>
      <c r="T83" s="272"/>
      <c r="U83" s="272"/>
      <c r="V83" s="272"/>
      <c r="W83" s="272"/>
      <c r="X83" s="272"/>
      <c r="Y83" s="272"/>
      <c r="Z83" s="272"/>
      <c r="AA83" s="272" t="s">
        <v>217</v>
      </c>
      <c r="AB83" s="272"/>
      <c r="AC83" s="272"/>
      <c r="AD83" s="272"/>
      <c r="AE83" s="272"/>
      <c r="AF83" s="247" t="s">
        <v>217</v>
      </c>
      <c r="AG83" s="247"/>
      <c r="AH83" s="247"/>
      <c r="AI83" s="247"/>
      <c r="AJ83" s="247"/>
      <c r="AK83" s="247" t="s">
        <v>217</v>
      </c>
      <c r="AL83" s="247"/>
      <c r="AM83" s="247"/>
      <c r="AN83" s="247"/>
      <c r="AO83" s="247"/>
      <c r="AP83" s="313" t="s">
        <v>217</v>
      </c>
      <c r="AQ83" s="313"/>
      <c r="AR83" s="313"/>
      <c r="AS83" s="313"/>
      <c r="AT83" s="313"/>
    </row>
    <row r="84" spans="2:46" ht="45" customHeight="1" x14ac:dyDescent="0.3">
      <c r="B84" s="314" t="s">
        <v>218</v>
      </c>
      <c r="C84" s="314"/>
      <c r="D84" s="314"/>
      <c r="E84" s="314"/>
      <c r="F84" s="314"/>
      <c r="G84" s="272"/>
      <c r="H84" s="272"/>
      <c r="I84" s="272"/>
      <c r="J84" s="272"/>
      <c r="K84" s="272"/>
      <c r="L84" s="272" t="s">
        <v>218</v>
      </c>
      <c r="M84" s="272"/>
      <c r="N84" s="272"/>
      <c r="O84" s="272"/>
      <c r="P84" s="272"/>
      <c r="Q84" s="272" t="s">
        <v>218</v>
      </c>
      <c r="R84" s="272"/>
      <c r="S84" s="272"/>
      <c r="T84" s="272"/>
      <c r="U84" s="272"/>
      <c r="V84" s="272"/>
      <c r="W84" s="272"/>
      <c r="X84" s="272"/>
      <c r="Y84" s="272"/>
      <c r="Z84" s="272"/>
      <c r="AA84" s="272" t="s">
        <v>218</v>
      </c>
      <c r="AB84" s="272"/>
      <c r="AC84" s="272"/>
      <c r="AD84" s="272"/>
      <c r="AE84" s="272"/>
      <c r="AF84" s="247" t="s">
        <v>217</v>
      </c>
      <c r="AG84" s="247"/>
      <c r="AH84" s="247"/>
      <c r="AI84" s="247"/>
      <c r="AJ84" s="247"/>
      <c r="AK84" s="247" t="s">
        <v>218</v>
      </c>
      <c r="AL84" s="247"/>
      <c r="AM84" s="247"/>
      <c r="AN84" s="247"/>
      <c r="AO84" s="247"/>
      <c r="AP84" s="313" t="s">
        <v>218</v>
      </c>
      <c r="AQ84" s="313"/>
      <c r="AR84" s="313"/>
      <c r="AS84" s="313"/>
      <c r="AT84" s="313"/>
    </row>
    <row r="85" spans="2:46" ht="45" customHeight="1" x14ac:dyDescent="0.3">
      <c r="B85" s="314" t="s">
        <v>219</v>
      </c>
      <c r="C85" s="314"/>
      <c r="D85" s="314"/>
      <c r="E85" s="314"/>
      <c r="F85" s="314"/>
      <c r="G85" s="272" t="s">
        <v>219</v>
      </c>
      <c r="H85" s="272"/>
      <c r="I85" s="272"/>
      <c r="J85" s="272"/>
      <c r="K85" s="272"/>
      <c r="L85" s="272" t="s">
        <v>219</v>
      </c>
      <c r="M85" s="272"/>
      <c r="N85" s="272"/>
      <c r="O85" s="272"/>
      <c r="P85" s="272"/>
      <c r="Q85" s="272" t="s">
        <v>219</v>
      </c>
      <c r="R85" s="272"/>
      <c r="S85" s="272"/>
      <c r="T85" s="272"/>
      <c r="U85" s="272"/>
      <c r="V85" s="272"/>
      <c r="W85" s="272"/>
      <c r="X85" s="272"/>
      <c r="Y85" s="272"/>
      <c r="Z85" s="272"/>
      <c r="AA85" s="272" t="s">
        <v>219</v>
      </c>
      <c r="AB85" s="272"/>
      <c r="AC85" s="272"/>
      <c r="AD85" s="272"/>
      <c r="AE85" s="272"/>
      <c r="AF85" s="247" t="s">
        <v>219</v>
      </c>
      <c r="AG85" s="247"/>
      <c r="AH85" s="247"/>
      <c r="AI85" s="247"/>
      <c r="AJ85" s="247"/>
      <c r="AK85" s="247" t="s">
        <v>219</v>
      </c>
      <c r="AL85" s="247"/>
      <c r="AM85" s="247"/>
      <c r="AN85" s="247"/>
      <c r="AO85" s="247"/>
      <c r="AP85" s="313" t="s">
        <v>219</v>
      </c>
      <c r="AQ85" s="313"/>
      <c r="AR85" s="313"/>
      <c r="AS85" s="313"/>
      <c r="AT85" s="313"/>
    </row>
    <row r="86" spans="2:46" ht="45" customHeight="1" x14ac:dyDescent="0.3">
      <c r="B86" s="314" t="s">
        <v>220</v>
      </c>
      <c r="C86" s="314"/>
      <c r="D86" s="314"/>
      <c r="E86" s="314"/>
      <c r="F86" s="314"/>
      <c r="G86" s="272" t="s">
        <v>220</v>
      </c>
      <c r="H86" s="272"/>
      <c r="I86" s="272"/>
      <c r="J86" s="272"/>
      <c r="K86" s="272"/>
      <c r="L86" s="272" t="s">
        <v>220</v>
      </c>
      <c r="M86" s="272"/>
      <c r="N86" s="272"/>
      <c r="O86" s="272"/>
      <c r="P86" s="272"/>
      <c r="Q86" s="272" t="s">
        <v>220</v>
      </c>
      <c r="R86" s="272"/>
      <c r="S86" s="272"/>
      <c r="T86" s="272"/>
      <c r="U86" s="272"/>
      <c r="V86" s="272" t="s">
        <v>220</v>
      </c>
      <c r="W86" s="272"/>
      <c r="X86" s="272"/>
      <c r="Y86" s="272"/>
      <c r="Z86" s="272"/>
      <c r="AA86" s="272" t="s">
        <v>220</v>
      </c>
      <c r="AB86" s="272"/>
      <c r="AC86" s="272"/>
      <c r="AD86" s="272"/>
      <c r="AE86" s="272"/>
      <c r="AF86" s="247" t="s">
        <v>220</v>
      </c>
      <c r="AG86" s="247"/>
      <c r="AH86" s="247"/>
      <c r="AI86" s="247"/>
      <c r="AJ86" s="247"/>
      <c r="AK86" s="247" t="s">
        <v>220</v>
      </c>
      <c r="AL86" s="247"/>
      <c r="AM86" s="247"/>
      <c r="AN86" s="247"/>
      <c r="AO86" s="247"/>
      <c r="AP86" s="313" t="s">
        <v>220</v>
      </c>
      <c r="AQ86" s="313"/>
      <c r="AR86" s="313"/>
      <c r="AS86" s="313"/>
      <c r="AT86" s="313"/>
    </row>
    <row r="87" spans="2:46" ht="45" customHeight="1" x14ac:dyDescent="0.3">
      <c r="B87" s="314"/>
      <c r="C87" s="314"/>
      <c r="D87" s="314"/>
      <c r="E87" s="314"/>
      <c r="F87" s="314"/>
      <c r="G87" s="272"/>
      <c r="H87" s="272"/>
      <c r="I87" s="272"/>
      <c r="J87" s="272"/>
      <c r="K87" s="272"/>
      <c r="L87" s="272"/>
      <c r="M87" s="272"/>
      <c r="N87" s="272"/>
      <c r="O87" s="272"/>
      <c r="P87" s="272"/>
      <c r="Q87" s="272"/>
      <c r="R87" s="272"/>
      <c r="S87" s="272"/>
      <c r="T87" s="272"/>
      <c r="U87" s="272"/>
      <c r="V87" s="272" t="s">
        <v>220</v>
      </c>
      <c r="W87" s="272"/>
      <c r="X87" s="272"/>
      <c r="Y87" s="272"/>
      <c r="Z87" s="272"/>
      <c r="AA87" s="272"/>
      <c r="AB87" s="272"/>
      <c r="AC87" s="272"/>
      <c r="AD87" s="272"/>
      <c r="AE87" s="272"/>
      <c r="AF87" s="247"/>
      <c r="AG87" s="247"/>
      <c r="AH87" s="247"/>
      <c r="AI87" s="247"/>
      <c r="AJ87" s="247"/>
      <c r="AK87" s="247"/>
      <c r="AL87" s="247"/>
      <c r="AM87" s="247"/>
      <c r="AN87" s="247"/>
      <c r="AO87" s="247"/>
      <c r="AP87" s="313"/>
      <c r="AQ87" s="313"/>
      <c r="AR87" s="313"/>
      <c r="AS87" s="313"/>
      <c r="AT87" s="313"/>
    </row>
    <row r="88" spans="2:46" ht="45" customHeight="1" x14ac:dyDescent="0.3">
      <c r="B88" s="315" t="s">
        <v>221</v>
      </c>
      <c r="C88" s="315"/>
      <c r="D88" s="315"/>
      <c r="E88" s="315"/>
      <c r="F88" s="315"/>
      <c r="G88" s="316" t="s">
        <v>221</v>
      </c>
      <c r="H88" s="316"/>
      <c r="I88" s="316"/>
      <c r="J88" s="316"/>
      <c r="K88" s="316"/>
      <c r="L88" s="316" t="s">
        <v>221</v>
      </c>
      <c r="M88" s="316"/>
      <c r="N88" s="316"/>
      <c r="O88" s="316"/>
      <c r="P88" s="316"/>
      <c r="Q88" s="316" t="s">
        <v>221</v>
      </c>
      <c r="R88" s="316"/>
      <c r="S88" s="316"/>
      <c r="T88" s="316"/>
      <c r="U88" s="316"/>
      <c r="V88" s="316" t="s">
        <v>221</v>
      </c>
      <c r="W88" s="316"/>
      <c r="X88" s="316"/>
      <c r="Y88" s="316"/>
      <c r="Z88" s="316"/>
      <c r="AA88" s="316" t="s">
        <v>221</v>
      </c>
      <c r="AB88" s="316"/>
      <c r="AC88" s="316"/>
      <c r="AD88" s="316"/>
      <c r="AE88" s="316"/>
      <c r="AF88" s="317" t="s">
        <v>221</v>
      </c>
      <c r="AG88" s="317"/>
      <c r="AH88" s="317"/>
      <c r="AI88" s="317"/>
      <c r="AJ88" s="317"/>
      <c r="AK88" s="317" t="s">
        <v>221</v>
      </c>
      <c r="AL88" s="317"/>
      <c r="AM88" s="317"/>
      <c r="AN88" s="317"/>
      <c r="AO88" s="317"/>
      <c r="AP88" s="318" t="s">
        <v>221</v>
      </c>
      <c r="AQ88" s="318"/>
      <c r="AR88" s="318"/>
      <c r="AS88" s="318"/>
      <c r="AT88" s="318"/>
    </row>
    <row r="89" spans="2:46" ht="45" customHeight="1" x14ac:dyDescent="0.3">
      <c r="B89" s="314" t="s">
        <v>222</v>
      </c>
      <c r="C89" s="314"/>
      <c r="D89" s="314"/>
      <c r="E89" s="314"/>
      <c r="F89" s="314"/>
      <c r="G89" s="272"/>
      <c r="H89" s="272"/>
      <c r="I89" s="272"/>
      <c r="J89" s="272"/>
      <c r="K89" s="272"/>
      <c r="L89" s="247" t="s">
        <v>222</v>
      </c>
      <c r="M89" s="247"/>
      <c r="N89" s="247"/>
      <c r="O89" s="247"/>
      <c r="P89" s="247"/>
      <c r="Q89" s="247" t="s">
        <v>222</v>
      </c>
      <c r="R89" s="247"/>
      <c r="S89" s="247"/>
      <c r="T89" s="247"/>
      <c r="U89" s="247"/>
      <c r="V89" s="272"/>
      <c r="W89" s="272"/>
      <c r="X89" s="272"/>
      <c r="Y89" s="272"/>
      <c r="Z89" s="272"/>
      <c r="AA89" s="272"/>
      <c r="AB89" s="272"/>
      <c r="AC89" s="272"/>
      <c r="AD89" s="272"/>
      <c r="AE89" s="272"/>
      <c r="AF89" s="247" t="s">
        <v>222</v>
      </c>
      <c r="AG89" s="247"/>
      <c r="AH89" s="247"/>
      <c r="AI89" s="247"/>
      <c r="AJ89" s="247"/>
      <c r="AK89" s="247" t="s">
        <v>222</v>
      </c>
      <c r="AL89" s="247"/>
      <c r="AM89" s="247"/>
      <c r="AN89" s="247"/>
      <c r="AO89" s="247"/>
      <c r="AP89" s="313" t="s">
        <v>222</v>
      </c>
      <c r="AQ89" s="313"/>
      <c r="AR89" s="313"/>
      <c r="AS89" s="313"/>
      <c r="AT89" s="313"/>
    </row>
    <row r="90" spans="2:46" ht="45" customHeight="1" x14ac:dyDescent="0.3">
      <c r="B90" s="314" t="s">
        <v>223</v>
      </c>
      <c r="C90" s="314"/>
      <c r="D90" s="314"/>
      <c r="E90" s="314"/>
      <c r="F90" s="314"/>
      <c r="G90" s="272"/>
      <c r="H90" s="272"/>
      <c r="I90" s="272"/>
      <c r="J90" s="272"/>
      <c r="K90" s="272"/>
      <c r="L90" s="272"/>
      <c r="M90" s="272"/>
      <c r="N90" s="272"/>
      <c r="O90" s="272"/>
      <c r="P90" s="272"/>
      <c r="Q90" s="272"/>
      <c r="R90" s="272"/>
      <c r="S90" s="272"/>
      <c r="T90" s="272"/>
      <c r="U90" s="272"/>
      <c r="V90" s="272" t="s">
        <v>223</v>
      </c>
      <c r="W90" s="272"/>
      <c r="X90" s="272"/>
      <c r="Y90" s="272"/>
      <c r="Z90" s="272"/>
      <c r="AA90" s="272" t="s">
        <v>223</v>
      </c>
      <c r="AB90" s="272"/>
      <c r="AC90" s="272"/>
      <c r="AD90" s="272"/>
      <c r="AE90" s="272"/>
      <c r="AF90" s="247"/>
      <c r="AG90" s="247"/>
      <c r="AH90" s="247"/>
      <c r="AI90" s="247"/>
      <c r="AJ90" s="247"/>
      <c r="AK90" s="247"/>
      <c r="AL90" s="247"/>
      <c r="AM90" s="247"/>
      <c r="AN90" s="247"/>
      <c r="AO90" s="247"/>
      <c r="AP90" s="313"/>
      <c r="AQ90" s="313"/>
      <c r="AR90" s="313"/>
      <c r="AS90" s="313"/>
      <c r="AT90" s="313"/>
    </row>
    <row r="91" spans="2:46" ht="45" customHeight="1" x14ac:dyDescent="0.3">
      <c r="B91" s="314"/>
      <c r="C91" s="314"/>
      <c r="D91" s="314"/>
      <c r="E91" s="314"/>
      <c r="F91" s="314"/>
      <c r="G91" s="272"/>
      <c r="H91" s="272"/>
      <c r="I91" s="272"/>
      <c r="J91" s="272"/>
      <c r="K91" s="272"/>
      <c r="L91" s="272"/>
      <c r="M91" s="272"/>
      <c r="N91" s="272"/>
      <c r="O91" s="272"/>
      <c r="P91" s="272"/>
      <c r="Q91" s="272"/>
      <c r="R91" s="272"/>
      <c r="S91" s="272"/>
      <c r="T91" s="272"/>
      <c r="U91" s="272"/>
      <c r="V91" s="272"/>
      <c r="W91" s="272"/>
      <c r="X91" s="272"/>
      <c r="Y91" s="272"/>
      <c r="Z91" s="272"/>
      <c r="AA91" s="272"/>
      <c r="AB91" s="272"/>
      <c r="AC91" s="272"/>
      <c r="AD91" s="272"/>
      <c r="AE91" s="272"/>
      <c r="AF91" s="247"/>
      <c r="AG91" s="247"/>
      <c r="AH91" s="247"/>
      <c r="AI91" s="247"/>
      <c r="AJ91" s="247"/>
      <c r="AK91" s="247"/>
      <c r="AL91" s="247"/>
      <c r="AM91" s="247"/>
      <c r="AN91" s="247"/>
      <c r="AO91" s="247"/>
      <c r="AP91" s="313"/>
      <c r="AQ91" s="313"/>
      <c r="AR91" s="313"/>
      <c r="AS91" s="313"/>
      <c r="AT91" s="313"/>
    </row>
    <row r="92" spans="2:46" ht="45" customHeight="1" x14ac:dyDescent="0.3">
      <c r="B92" s="315" t="s">
        <v>224</v>
      </c>
      <c r="C92" s="315"/>
      <c r="D92" s="315"/>
      <c r="E92" s="315"/>
      <c r="F92" s="315"/>
      <c r="G92" s="316" t="s">
        <v>224</v>
      </c>
      <c r="H92" s="316"/>
      <c r="I92" s="316"/>
      <c r="J92" s="316"/>
      <c r="K92" s="316"/>
      <c r="L92" s="316" t="s">
        <v>224</v>
      </c>
      <c r="M92" s="316"/>
      <c r="N92" s="316"/>
      <c r="O92" s="316"/>
      <c r="P92" s="316"/>
      <c r="Q92" s="316" t="s">
        <v>224</v>
      </c>
      <c r="R92" s="316"/>
      <c r="S92" s="316"/>
      <c r="T92" s="316"/>
      <c r="U92" s="316"/>
      <c r="V92" s="316" t="s">
        <v>224</v>
      </c>
      <c r="W92" s="316"/>
      <c r="X92" s="316"/>
      <c r="Y92" s="316"/>
      <c r="Z92" s="316"/>
      <c r="AA92" s="316" t="s">
        <v>224</v>
      </c>
      <c r="AB92" s="316"/>
      <c r="AC92" s="316"/>
      <c r="AD92" s="316"/>
      <c r="AE92" s="316"/>
      <c r="AF92" s="317" t="s">
        <v>224</v>
      </c>
      <c r="AG92" s="317"/>
      <c r="AH92" s="317"/>
      <c r="AI92" s="317"/>
      <c r="AJ92" s="317"/>
      <c r="AK92" s="317" t="s">
        <v>224</v>
      </c>
      <c r="AL92" s="317"/>
      <c r="AM92" s="317"/>
      <c r="AN92" s="317"/>
      <c r="AO92" s="317"/>
      <c r="AP92" s="318" t="s">
        <v>224</v>
      </c>
      <c r="AQ92" s="318"/>
      <c r="AR92" s="318"/>
      <c r="AS92" s="318"/>
      <c r="AT92" s="318"/>
    </row>
    <row r="93" spans="2:46" ht="45" customHeight="1" x14ac:dyDescent="0.3">
      <c r="B93" s="314" t="s">
        <v>225</v>
      </c>
      <c r="C93" s="314"/>
      <c r="D93" s="314"/>
      <c r="E93" s="314"/>
      <c r="F93" s="314"/>
      <c r="G93" s="272"/>
      <c r="H93" s="272"/>
      <c r="I93" s="272"/>
      <c r="J93" s="272"/>
      <c r="K93" s="272"/>
      <c r="L93" s="272"/>
      <c r="M93" s="272"/>
      <c r="N93" s="272"/>
      <c r="O93" s="272"/>
      <c r="P93" s="272"/>
      <c r="Q93" s="272"/>
      <c r="R93" s="272"/>
      <c r="S93" s="272"/>
      <c r="T93" s="272"/>
      <c r="U93" s="272"/>
      <c r="V93" s="272"/>
      <c r="W93" s="272"/>
      <c r="X93" s="272"/>
      <c r="Y93" s="272"/>
      <c r="Z93" s="272"/>
      <c r="AA93" s="272"/>
      <c r="AB93" s="272"/>
      <c r="AC93" s="272"/>
      <c r="AD93" s="272"/>
      <c r="AE93" s="272"/>
      <c r="AF93" s="247" t="s">
        <v>225</v>
      </c>
      <c r="AG93" s="247"/>
      <c r="AH93" s="247"/>
      <c r="AI93" s="247"/>
      <c r="AJ93" s="247"/>
      <c r="AK93" s="247"/>
      <c r="AL93" s="247"/>
      <c r="AM93" s="247"/>
      <c r="AN93" s="247"/>
      <c r="AO93" s="247"/>
      <c r="AP93" s="313"/>
      <c r="AQ93" s="313"/>
      <c r="AR93" s="313"/>
      <c r="AS93" s="313"/>
      <c r="AT93" s="313"/>
    </row>
    <row r="94" spans="2:46" ht="45" customHeight="1" x14ac:dyDescent="0.3">
      <c r="B94" s="314" t="s">
        <v>226</v>
      </c>
      <c r="C94" s="314"/>
      <c r="D94" s="314"/>
      <c r="E94" s="314"/>
      <c r="F94" s="314"/>
      <c r="G94" s="272"/>
      <c r="H94" s="272"/>
      <c r="I94" s="272"/>
      <c r="J94" s="272"/>
      <c r="K94" s="272"/>
      <c r="L94" s="272"/>
      <c r="M94" s="272"/>
      <c r="N94" s="272"/>
      <c r="O94" s="272"/>
      <c r="P94" s="272"/>
      <c r="Q94" s="272"/>
      <c r="R94" s="272"/>
      <c r="S94" s="272"/>
      <c r="T94" s="272"/>
      <c r="U94" s="272"/>
      <c r="V94" s="272"/>
      <c r="W94" s="272"/>
      <c r="X94" s="272"/>
      <c r="Y94" s="272"/>
      <c r="Z94" s="272"/>
      <c r="AA94" s="272"/>
      <c r="AB94" s="272"/>
      <c r="AC94" s="272"/>
      <c r="AD94" s="272"/>
      <c r="AE94" s="272"/>
      <c r="AF94" s="247" t="s">
        <v>226</v>
      </c>
      <c r="AG94" s="247"/>
      <c r="AH94" s="247"/>
      <c r="AI94" s="247"/>
      <c r="AJ94" s="247"/>
      <c r="AK94" s="247" t="s">
        <v>226</v>
      </c>
      <c r="AL94" s="247"/>
      <c r="AM94" s="247"/>
      <c r="AN94" s="247"/>
      <c r="AO94" s="247"/>
      <c r="AP94" s="313"/>
      <c r="AQ94" s="313"/>
      <c r="AR94" s="313"/>
      <c r="AS94" s="313"/>
      <c r="AT94" s="313"/>
    </row>
    <row r="95" spans="2:46" ht="45" customHeight="1" x14ac:dyDescent="0.3">
      <c r="B95" s="314" t="s">
        <v>227</v>
      </c>
      <c r="C95" s="314"/>
      <c r="D95" s="314"/>
      <c r="E95" s="314"/>
      <c r="F95" s="314"/>
      <c r="G95" s="272"/>
      <c r="H95" s="272"/>
      <c r="I95" s="272"/>
      <c r="J95" s="272"/>
      <c r="K95" s="272"/>
      <c r="L95" s="272"/>
      <c r="M95" s="272"/>
      <c r="N95" s="272"/>
      <c r="O95" s="272"/>
      <c r="P95" s="272"/>
      <c r="Q95" s="272"/>
      <c r="R95" s="272"/>
      <c r="S95" s="272"/>
      <c r="T95" s="272"/>
      <c r="U95" s="272"/>
      <c r="V95" s="272"/>
      <c r="W95" s="272"/>
      <c r="X95" s="272"/>
      <c r="Y95" s="272"/>
      <c r="Z95" s="272"/>
      <c r="AA95" s="272"/>
      <c r="AB95" s="272"/>
      <c r="AC95" s="272"/>
      <c r="AD95" s="272"/>
      <c r="AE95" s="272"/>
      <c r="AF95" s="247" t="s">
        <v>227</v>
      </c>
      <c r="AG95" s="247"/>
      <c r="AH95" s="247"/>
      <c r="AI95" s="247"/>
      <c r="AJ95" s="247"/>
      <c r="AK95" s="247"/>
      <c r="AL95" s="247"/>
      <c r="AM95" s="247"/>
      <c r="AN95" s="247"/>
      <c r="AO95" s="247"/>
      <c r="AP95" s="313"/>
      <c r="AQ95" s="313"/>
      <c r="AR95" s="313"/>
      <c r="AS95" s="313"/>
      <c r="AT95" s="313"/>
    </row>
    <row r="96" spans="2:46" ht="45" customHeight="1" x14ac:dyDescent="0.3">
      <c r="B96" s="319" t="s">
        <v>228</v>
      </c>
      <c r="C96" s="319"/>
      <c r="D96" s="319"/>
      <c r="E96" s="319"/>
      <c r="F96" s="319"/>
      <c r="G96" s="279" t="s">
        <v>228</v>
      </c>
      <c r="H96" s="279"/>
      <c r="I96" s="279"/>
      <c r="J96" s="279"/>
      <c r="K96" s="279"/>
      <c r="L96" s="279" t="s">
        <v>228</v>
      </c>
      <c r="M96" s="279"/>
      <c r="N96" s="279"/>
      <c r="O96" s="279"/>
      <c r="P96" s="279"/>
      <c r="Q96" s="279" t="s">
        <v>228</v>
      </c>
      <c r="R96" s="279"/>
      <c r="S96" s="279"/>
      <c r="T96" s="279"/>
      <c r="U96" s="279"/>
      <c r="V96" s="279" t="s">
        <v>228</v>
      </c>
      <c r="W96" s="279"/>
      <c r="X96" s="279"/>
      <c r="Y96" s="279"/>
      <c r="Z96" s="279"/>
      <c r="AA96" s="279" t="s">
        <v>228</v>
      </c>
      <c r="AB96" s="279"/>
      <c r="AC96" s="279"/>
      <c r="AD96" s="279"/>
      <c r="AE96" s="279"/>
      <c r="AF96" s="250" t="s">
        <v>228</v>
      </c>
      <c r="AG96" s="250"/>
      <c r="AH96" s="250"/>
      <c r="AI96" s="250"/>
      <c r="AJ96" s="250"/>
      <c r="AK96" s="250" t="s">
        <v>228</v>
      </c>
      <c r="AL96" s="250"/>
      <c r="AM96" s="250"/>
      <c r="AN96" s="250"/>
      <c r="AO96" s="250"/>
      <c r="AP96" s="320" t="s">
        <v>228</v>
      </c>
      <c r="AQ96" s="320"/>
      <c r="AR96" s="320"/>
      <c r="AS96" s="320"/>
      <c r="AT96" s="320"/>
    </row>
    <row r="97" spans="2:46" ht="45" customHeight="1" x14ac:dyDescent="0.3">
      <c r="B97" s="314"/>
      <c r="C97" s="314"/>
      <c r="D97" s="314"/>
      <c r="E97" s="314"/>
      <c r="F97" s="314"/>
      <c r="G97" s="272"/>
      <c r="H97" s="272"/>
      <c r="I97" s="272"/>
      <c r="J97" s="272"/>
      <c r="K97" s="272"/>
      <c r="L97" s="272"/>
      <c r="M97" s="272"/>
      <c r="N97" s="272"/>
      <c r="O97" s="272"/>
      <c r="P97" s="272"/>
      <c r="Q97" s="272"/>
      <c r="R97" s="272"/>
      <c r="S97" s="272"/>
      <c r="T97" s="272"/>
      <c r="U97" s="272"/>
      <c r="V97" s="272"/>
      <c r="W97" s="272"/>
      <c r="X97" s="272"/>
      <c r="Y97" s="272"/>
      <c r="Z97" s="272"/>
      <c r="AA97" s="272"/>
      <c r="AB97" s="272"/>
      <c r="AC97" s="272"/>
      <c r="AD97" s="272"/>
      <c r="AE97" s="272"/>
      <c r="AF97" s="247"/>
      <c r="AG97" s="247"/>
      <c r="AH97" s="247"/>
      <c r="AI97" s="247"/>
      <c r="AJ97" s="247"/>
      <c r="AK97" s="247"/>
      <c r="AL97" s="247"/>
      <c r="AM97" s="247"/>
      <c r="AN97" s="247"/>
      <c r="AO97" s="247"/>
      <c r="AP97" s="313"/>
      <c r="AQ97" s="313"/>
      <c r="AR97" s="313"/>
      <c r="AS97" s="313"/>
      <c r="AT97" s="313"/>
    </row>
    <row r="98" spans="2:46" ht="45" customHeight="1" x14ac:dyDescent="0.3">
      <c r="B98" s="315" t="s">
        <v>229</v>
      </c>
      <c r="C98" s="315"/>
      <c r="D98" s="315"/>
      <c r="E98" s="315"/>
      <c r="F98" s="315"/>
      <c r="G98" s="316" t="s">
        <v>229</v>
      </c>
      <c r="H98" s="316"/>
      <c r="I98" s="316"/>
      <c r="J98" s="316"/>
      <c r="K98" s="316"/>
      <c r="L98" s="316" t="s">
        <v>229</v>
      </c>
      <c r="M98" s="316"/>
      <c r="N98" s="316"/>
      <c r="O98" s="316"/>
      <c r="P98" s="316"/>
      <c r="Q98" s="316" t="s">
        <v>229</v>
      </c>
      <c r="R98" s="316"/>
      <c r="S98" s="316"/>
      <c r="T98" s="316"/>
      <c r="U98" s="316"/>
      <c r="V98" s="316" t="s">
        <v>229</v>
      </c>
      <c r="W98" s="316"/>
      <c r="X98" s="316"/>
      <c r="Y98" s="316"/>
      <c r="Z98" s="316"/>
      <c r="AA98" s="316" t="s">
        <v>229</v>
      </c>
      <c r="AB98" s="316"/>
      <c r="AC98" s="316"/>
      <c r="AD98" s="316"/>
      <c r="AE98" s="316"/>
      <c r="AF98" s="317" t="s">
        <v>229</v>
      </c>
      <c r="AG98" s="317"/>
      <c r="AH98" s="317"/>
      <c r="AI98" s="317"/>
      <c r="AJ98" s="317"/>
      <c r="AK98" s="317" t="s">
        <v>229</v>
      </c>
      <c r="AL98" s="317"/>
      <c r="AM98" s="317"/>
      <c r="AN98" s="317"/>
      <c r="AO98" s="317"/>
      <c r="AP98" s="318" t="s">
        <v>229</v>
      </c>
      <c r="AQ98" s="318"/>
      <c r="AR98" s="318"/>
      <c r="AS98" s="318"/>
      <c r="AT98" s="318"/>
    </row>
    <row r="99" spans="2:46" ht="45" customHeight="1" x14ac:dyDescent="0.3">
      <c r="B99" s="314" t="s">
        <v>230</v>
      </c>
      <c r="C99" s="314"/>
      <c r="D99" s="314"/>
      <c r="E99" s="314"/>
      <c r="F99" s="314"/>
      <c r="G99" s="272"/>
      <c r="H99" s="272"/>
      <c r="I99" s="272"/>
      <c r="J99" s="272"/>
      <c r="K99" s="272"/>
      <c r="L99" s="272"/>
      <c r="M99" s="272"/>
      <c r="N99" s="272"/>
      <c r="O99" s="272"/>
      <c r="P99" s="272"/>
      <c r="Q99" s="272" t="s">
        <v>230</v>
      </c>
      <c r="R99" s="272"/>
      <c r="S99" s="272"/>
      <c r="T99" s="272"/>
      <c r="U99" s="272"/>
      <c r="V99" s="272" t="s">
        <v>230</v>
      </c>
      <c r="W99" s="272"/>
      <c r="X99" s="272"/>
      <c r="Y99" s="272"/>
      <c r="Z99" s="272"/>
      <c r="AA99" s="272" t="s">
        <v>230</v>
      </c>
      <c r="AB99" s="272"/>
      <c r="AC99" s="272"/>
      <c r="AD99" s="272"/>
      <c r="AE99" s="272"/>
      <c r="AF99" s="247"/>
      <c r="AG99" s="247"/>
      <c r="AH99" s="247"/>
      <c r="AI99" s="247"/>
      <c r="AJ99" s="247"/>
      <c r="AK99" s="247"/>
      <c r="AL99" s="247"/>
      <c r="AM99" s="247"/>
      <c r="AN99" s="247"/>
      <c r="AO99" s="247"/>
      <c r="AP99" s="313" t="s">
        <v>230</v>
      </c>
      <c r="AQ99" s="313"/>
      <c r="AR99" s="313"/>
      <c r="AS99" s="313"/>
      <c r="AT99" s="313"/>
    </row>
    <row r="100" spans="2:46" ht="45" customHeight="1" x14ac:dyDescent="0.3">
      <c r="B100" s="314" t="s">
        <v>231</v>
      </c>
      <c r="C100" s="314"/>
      <c r="D100" s="314"/>
      <c r="E100" s="314"/>
      <c r="F100" s="314"/>
      <c r="G100" s="272"/>
      <c r="H100" s="272"/>
      <c r="I100" s="272"/>
      <c r="J100" s="272"/>
      <c r="K100" s="272"/>
      <c r="L100" s="272"/>
      <c r="M100" s="272"/>
      <c r="N100" s="272"/>
      <c r="O100" s="272"/>
      <c r="P100" s="272"/>
      <c r="Q100" s="272"/>
      <c r="R100" s="272"/>
      <c r="S100" s="272"/>
      <c r="T100" s="272"/>
      <c r="U100" s="272"/>
      <c r="V100" s="272"/>
      <c r="W100" s="272"/>
      <c r="X100" s="272"/>
      <c r="Y100" s="272"/>
      <c r="Z100" s="272"/>
      <c r="AA100" s="272"/>
      <c r="AB100" s="272"/>
      <c r="AC100" s="272"/>
      <c r="AD100" s="272"/>
      <c r="AE100" s="272"/>
      <c r="AF100" s="247" t="s">
        <v>231</v>
      </c>
      <c r="AG100" s="247"/>
      <c r="AH100" s="247"/>
      <c r="AI100" s="247"/>
      <c r="AJ100" s="247"/>
      <c r="AK100" s="247" t="s">
        <v>231</v>
      </c>
      <c r="AL100" s="247"/>
      <c r="AM100" s="247"/>
      <c r="AN100" s="247"/>
      <c r="AO100" s="247"/>
      <c r="AP100" s="313"/>
      <c r="AQ100" s="313"/>
      <c r="AR100" s="313"/>
      <c r="AS100" s="313"/>
      <c r="AT100" s="313"/>
    </row>
    <row r="101" spans="2:46" ht="45" customHeight="1" x14ac:dyDescent="0.3">
      <c r="B101" s="314"/>
      <c r="C101" s="314"/>
      <c r="D101" s="314"/>
      <c r="E101" s="314"/>
      <c r="F101" s="314"/>
      <c r="G101" s="272"/>
      <c r="H101" s="272"/>
      <c r="I101" s="272"/>
      <c r="J101" s="272"/>
      <c r="K101" s="272"/>
      <c r="L101" s="272"/>
      <c r="M101" s="272"/>
      <c r="N101" s="272"/>
      <c r="O101" s="272"/>
      <c r="P101" s="272"/>
      <c r="Q101" s="272"/>
      <c r="R101" s="272"/>
      <c r="S101" s="272"/>
      <c r="T101" s="272"/>
      <c r="U101" s="272"/>
      <c r="V101" s="272"/>
      <c r="W101" s="272"/>
      <c r="X101" s="272"/>
      <c r="Y101" s="272"/>
      <c r="Z101" s="272"/>
      <c r="AA101" s="272"/>
      <c r="AB101" s="272"/>
      <c r="AC101" s="272"/>
      <c r="AD101" s="272"/>
      <c r="AE101" s="272"/>
      <c r="AF101" s="247"/>
      <c r="AG101" s="247"/>
      <c r="AH101" s="247"/>
      <c r="AI101" s="247"/>
      <c r="AJ101" s="247"/>
      <c r="AK101" s="247"/>
      <c r="AL101" s="247"/>
      <c r="AM101" s="247"/>
      <c r="AN101" s="247"/>
      <c r="AO101" s="247"/>
      <c r="AP101" s="313"/>
      <c r="AQ101" s="313"/>
      <c r="AR101" s="313"/>
      <c r="AS101" s="313"/>
      <c r="AT101" s="313"/>
    </row>
    <row r="102" spans="2:46" ht="45" customHeight="1" x14ac:dyDescent="0.3">
      <c r="B102" s="315" t="s">
        <v>232</v>
      </c>
      <c r="C102" s="315"/>
      <c r="D102" s="315"/>
      <c r="E102" s="315"/>
      <c r="F102" s="315"/>
      <c r="G102" s="316" t="s">
        <v>232</v>
      </c>
      <c r="H102" s="316"/>
      <c r="I102" s="316"/>
      <c r="J102" s="316"/>
      <c r="K102" s="316"/>
      <c r="L102" s="316" t="s">
        <v>232</v>
      </c>
      <c r="M102" s="316"/>
      <c r="N102" s="316"/>
      <c r="O102" s="316"/>
      <c r="P102" s="316"/>
      <c r="Q102" s="316" t="s">
        <v>232</v>
      </c>
      <c r="R102" s="316"/>
      <c r="S102" s="316"/>
      <c r="T102" s="316"/>
      <c r="U102" s="316"/>
      <c r="V102" s="316" t="s">
        <v>232</v>
      </c>
      <c r="W102" s="316"/>
      <c r="X102" s="316"/>
      <c r="Y102" s="316"/>
      <c r="Z102" s="316"/>
      <c r="AA102" s="316" t="s">
        <v>232</v>
      </c>
      <c r="AB102" s="316"/>
      <c r="AC102" s="316"/>
      <c r="AD102" s="316"/>
      <c r="AE102" s="316"/>
      <c r="AF102" s="317" t="s">
        <v>232</v>
      </c>
      <c r="AG102" s="317"/>
      <c r="AH102" s="317"/>
      <c r="AI102" s="317"/>
      <c r="AJ102" s="317"/>
      <c r="AK102" s="317" t="s">
        <v>232</v>
      </c>
      <c r="AL102" s="317"/>
      <c r="AM102" s="317"/>
      <c r="AN102" s="317"/>
      <c r="AO102" s="317"/>
      <c r="AP102" s="318" t="s">
        <v>232</v>
      </c>
      <c r="AQ102" s="318"/>
      <c r="AR102" s="318"/>
      <c r="AS102" s="318"/>
      <c r="AT102" s="318"/>
    </row>
    <row r="103" spans="2:46" ht="45" customHeight="1" x14ac:dyDescent="0.3">
      <c r="B103" s="314" t="s">
        <v>233</v>
      </c>
      <c r="C103" s="314"/>
      <c r="D103" s="314"/>
      <c r="E103" s="314"/>
      <c r="F103" s="314"/>
      <c r="G103" s="272"/>
      <c r="H103" s="272"/>
      <c r="I103" s="272"/>
      <c r="J103" s="272"/>
      <c r="K103" s="272"/>
      <c r="L103" s="272" t="s">
        <v>233</v>
      </c>
      <c r="M103" s="272"/>
      <c r="N103" s="272"/>
      <c r="O103" s="272"/>
      <c r="P103" s="272"/>
      <c r="Q103" s="272" t="s">
        <v>234</v>
      </c>
      <c r="R103" s="272"/>
      <c r="S103" s="272"/>
      <c r="T103" s="272"/>
      <c r="U103" s="272"/>
      <c r="V103" s="272" t="s">
        <v>235</v>
      </c>
      <c r="W103" s="272"/>
      <c r="X103" s="272"/>
      <c r="Y103" s="272"/>
      <c r="Z103" s="272"/>
      <c r="AA103" s="272" t="s">
        <v>236</v>
      </c>
      <c r="AB103" s="272"/>
      <c r="AC103" s="272"/>
      <c r="AD103" s="272"/>
      <c r="AE103" s="272"/>
      <c r="AF103" s="247"/>
      <c r="AG103" s="247"/>
      <c r="AH103" s="247"/>
      <c r="AI103" s="247"/>
      <c r="AJ103" s="247"/>
      <c r="AK103" s="247"/>
      <c r="AL103" s="247"/>
      <c r="AM103" s="247"/>
      <c r="AN103" s="247"/>
      <c r="AO103" s="247"/>
      <c r="AP103" s="313" t="s">
        <v>237</v>
      </c>
      <c r="AQ103" s="313"/>
      <c r="AR103" s="313"/>
      <c r="AS103" s="313"/>
      <c r="AT103" s="313"/>
    </row>
    <row r="104" spans="2:46" ht="45" customHeight="1" x14ac:dyDescent="0.3">
      <c r="B104" s="314" t="s">
        <v>238</v>
      </c>
      <c r="C104" s="314"/>
      <c r="D104" s="314"/>
      <c r="E104" s="314"/>
      <c r="F104" s="314"/>
      <c r="G104" s="272"/>
      <c r="H104" s="272"/>
      <c r="I104" s="272"/>
      <c r="J104" s="272"/>
      <c r="K104" s="272"/>
      <c r="L104" s="272" t="s">
        <v>238</v>
      </c>
      <c r="M104" s="272"/>
      <c r="N104" s="272"/>
      <c r="O104" s="272"/>
      <c r="P104" s="272"/>
      <c r="Q104" s="272" t="s">
        <v>239</v>
      </c>
      <c r="R104" s="272"/>
      <c r="S104" s="272"/>
      <c r="T104" s="272"/>
      <c r="U104" s="272"/>
      <c r="V104" s="272" t="s">
        <v>240</v>
      </c>
      <c r="W104" s="272"/>
      <c r="X104" s="272"/>
      <c r="Y104" s="272"/>
      <c r="Z104" s="272"/>
      <c r="AA104" s="272" t="s">
        <v>241</v>
      </c>
      <c r="AB104" s="272"/>
      <c r="AC104" s="272"/>
      <c r="AD104" s="272"/>
      <c r="AE104" s="272"/>
      <c r="AF104" s="247" t="s">
        <v>242</v>
      </c>
      <c r="AG104" s="247"/>
      <c r="AH104" s="247"/>
      <c r="AI104" s="247"/>
      <c r="AJ104" s="247"/>
      <c r="AK104" s="247" t="s">
        <v>243</v>
      </c>
      <c r="AL104" s="247"/>
      <c r="AM104" s="247"/>
      <c r="AN104" s="247"/>
      <c r="AO104" s="247"/>
      <c r="AP104" s="313" t="s">
        <v>244</v>
      </c>
      <c r="AQ104" s="313"/>
      <c r="AR104" s="313"/>
      <c r="AS104" s="313"/>
      <c r="AT104" s="313"/>
    </row>
    <row r="105" spans="2:46" ht="45" customHeight="1" x14ac:dyDescent="0.3">
      <c r="B105" s="314" t="s">
        <v>245</v>
      </c>
      <c r="C105" s="314"/>
      <c r="D105" s="314"/>
      <c r="E105" s="314"/>
      <c r="F105" s="314"/>
      <c r="G105" s="272" t="s">
        <v>245</v>
      </c>
      <c r="H105" s="272"/>
      <c r="I105" s="272"/>
      <c r="J105" s="272"/>
      <c r="K105" s="272"/>
      <c r="L105" s="272" t="s">
        <v>245</v>
      </c>
      <c r="M105" s="272"/>
      <c r="N105" s="272"/>
      <c r="O105" s="272"/>
      <c r="P105" s="272"/>
      <c r="Q105" s="272" t="s">
        <v>245</v>
      </c>
      <c r="R105" s="272"/>
      <c r="S105" s="272"/>
      <c r="T105" s="272"/>
      <c r="U105" s="272"/>
      <c r="V105" s="272" t="s">
        <v>245</v>
      </c>
      <c r="W105" s="272"/>
      <c r="X105" s="272"/>
      <c r="Y105" s="272"/>
      <c r="Z105" s="272"/>
      <c r="AA105" s="272" t="s">
        <v>245</v>
      </c>
      <c r="AB105" s="272"/>
      <c r="AC105" s="272"/>
      <c r="AD105" s="272"/>
      <c r="AE105" s="272"/>
      <c r="AF105" s="247" t="s">
        <v>245</v>
      </c>
      <c r="AG105" s="247"/>
      <c r="AH105" s="247"/>
      <c r="AI105" s="247"/>
      <c r="AJ105" s="247"/>
      <c r="AK105" s="247" t="s">
        <v>245</v>
      </c>
      <c r="AL105" s="247"/>
      <c r="AM105" s="247"/>
      <c r="AN105" s="247"/>
      <c r="AO105" s="247"/>
      <c r="AP105" s="313" t="s">
        <v>245</v>
      </c>
      <c r="AQ105" s="313"/>
      <c r="AR105" s="313"/>
      <c r="AS105" s="313"/>
      <c r="AT105" s="313"/>
    </row>
    <row r="106" spans="2:46" ht="45" customHeight="1" x14ac:dyDescent="0.3">
      <c r="B106" s="314"/>
      <c r="C106" s="314"/>
      <c r="D106" s="314"/>
      <c r="E106" s="314"/>
      <c r="F106" s="314"/>
      <c r="G106" s="272"/>
      <c r="H106" s="272"/>
      <c r="I106" s="272"/>
      <c r="J106" s="272"/>
      <c r="K106" s="272"/>
      <c r="L106" s="272"/>
      <c r="M106" s="272"/>
      <c r="N106" s="272"/>
      <c r="O106" s="272"/>
      <c r="P106" s="272"/>
      <c r="Q106" s="272"/>
      <c r="R106" s="272"/>
      <c r="S106" s="272"/>
      <c r="T106" s="272"/>
      <c r="U106" s="272"/>
      <c r="V106" s="272"/>
      <c r="W106" s="272"/>
      <c r="X106" s="272"/>
      <c r="Y106" s="272"/>
      <c r="Z106" s="272"/>
      <c r="AA106" s="272"/>
      <c r="AB106" s="272"/>
      <c r="AC106" s="272"/>
      <c r="AD106" s="272"/>
      <c r="AE106" s="272"/>
      <c r="AF106" s="247"/>
      <c r="AG106" s="247"/>
      <c r="AH106" s="247"/>
      <c r="AI106" s="247"/>
      <c r="AJ106" s="247"/>
      <c r="AK106" s="247"/>
      <c r="AL106" s="247"/>
      <c r="AM106" s="247"/>
      <c r="AN106" s="247"/>
      <c r="AO106" s="247"/>
      <c r="AP106" s="313"/>
      <c r="AQ106" s="313"/>
      <c r="AR106" s="313"/>
      <c r="AS106" s="313"/>
      <c r="AT106" s="313"/>
    </row>
    <row r="107" spans="2:46" ht="45" customHeight="1" x14ac:dyDescent="0.3">
      <c r="B107" s="315" t="s">
        <v>246</v>
      </c>
      <c r="C107" s="315"/>
      <c r="D107" s="315"/>
      <c r="E107" s="315"/>
      <c r="F107" s="315"/>
      <c r="G107" s="316" t="s">
        <v>246</v>
      </c>
      <c r="H107" s="316"/>
      <c r="I107" s="316"/>
      <c r="J107" s="316"/>
      <c r="K107" s="316"/>
      <c r="L107" s="316" t="s">
        <v>246</v>
      </c>
      <c r="M107" s="316"/>
      <c r="N107" s="316"/>
      <c r="O107" s="316"/>
      <c r="P107" s="316"/>
      <c r="Q107" s="316" t="s">
        <v>246</v>
      </c>
      <c r="R107" s="316"/>
      <c r="S107" s="316"/>
      <c r="T107" s="316"/>
      <c r="U107" s="316"/>
      <c r="V107" s="316" t="s">
        <v>246</v>
      </c>
      <c r="W107" s="316"/>
      <c r="X107" s="316"/>
      <c r="Y107" s="316"/>
      <c r="Z107" s="316"/>
      <c r="AA107" s="316" t="s">
        <v>246</v>
      </c>
      <c r="AB107" s="316"/>
      <c r="AC107" s="316"/>
      <c r="AD107" s="316"/>
      <c r="AE107" s="316"/>
      <c r="AF107" s="317" t="s">
        <v>246</v>
      </c>
      <c r="AG107" s="317"/>
      <c r="AH107" s="317"/>
      <c r="AI107" s="317"/>
      <c r="AJ107" s="317"/>
      <c r="AK107" s="317" t="s">
        <v>246</v>
      </c>
      <c r="AL107" s="317"/>
      <c r="AM107" s="317"/>
      <c r="AN107" s="317"/>
      <c r="AO107" s="317"/>
      <c r="AP107" s="318" t="s">
        <v>246</v>
      </c>
      <c r="AQ107" s="318"/>
      <c r="AR107" s="318"/>
      <c r="AS107" s="318"/>
      <c r="AT107" s="318"/>
    </row>
    <row r="108" spans="2:46" ht="45" customHeight="1" x14ac:dyDescent="0.3">
      <c r="B108" s="314" t="s">
        <v>247</v>
      </c>
      <c r="C108" s="314"/>
      <c r="D108" s="314"/>
      <c r="E108" s="314"/>
      <c r="F108" s="314"/>
      <c r="G108" s="272"/>
      <c r="H108" s="272"/>
      <c r="I108" s="272"/>
      <c r="J108" s="272"/>
      <c r="K108" s="272"/>
      <c r="L108" s="272" t="s">
        <v>247</v>
      </c>
      <c r="M108" s="272"/>
      <c r="N108" s="272"/>
      <c r="O108" s="272"/>
      <c r="P108" s="272"/>
      <c r="Q108" s="272" t="s">
        <v>247</v>
      </c>
      <c r="R108" s="272"/>
      <c r="S108" s="272"/>
      <c r="T108" s="272"/>
      <c r="U108" s="272"/>
      <c r="V108" s="272" t="s">
        <v>247</v>
      </c>
      <c r="W108" s="272"/>
      <c r="X108" s="272"/>
      <c r="Y108" s="272"/>
      <c r="Z108" s="272"/>
      <c r="AA108" s="272" t="s">
        <v>247</v>
      </c>
      <c r="AB108" s="272"/>
      <c r="AC108" s="272"/>
      <c r="AD108" s="272"/>
      <c r="AE108" s="272"/>
      <c r="AF108" s="247"/>
      <c r="AG108" s="247"/>
      <c r="AH108" s="247"/>
      <c r="AI108" s="247"/>
      <c r="AJ108" s="247"/>
      <c r="AK108" s="247"/>
      <c r="AL108" s="247"/>
      <c r="AM108" s="247"/>
      <c r="AN108" s="247"/>
      <c r="AO108" s="247"/>
      <c r="AP108" s="313" t="s">
        <v>247</v>
      </c>
      <c r="AQ108" s="313"/>
      <c r="AR108" s="313"/>
      <c r="AS108" s="313"/>
      <c r="AT108" s="313"/>
    </row>
    <row r="109" spans="2:46" ht="45" customHeight="1" x14ac:dyDescent="0.3">
      <c r="B109" s="314" t="s">
        <v>248</v>
      </c>
      <c r="C109" s="314"/>
      <c r="D109" s="314"/>
      <c r="E109" s="314"/>
      <c r="F109" s="314"/>
      <c r="G109" s="272"/>
      <c r="H109" s="272"/>
      <c r="I109" s="272"/>
      <c r="J109" s="272"/>
      <c r="K109" s="272"/>
      <c r="L109" s="272" t="s">
        <v>248</v>
      </c>
      <c r="M109" s="272"/>
      <c r="N109" s="272"/>
      <c r="O109" s="272"/>
      <c r="P109" s="272"/>
      <c r="Q109" s="272" t="s">
        <v>248</v>
      </c>
      <c r="R109" s="272"/>
      <c r="S109" s="272"/>
      <c r="T109" s="272"/>
      <c r="U109" s="272"/>
      <c r="V109" s="272" t="s">
        <v>248</v>
      </c>
      <c r="W109" s="272"/>
      <c r="X109" s="272"/>
      <c r="Y109" s="272"/>
      <c r="Z109" s="272"/>
      <c r="AA109" s="272" t="s">
        <v>248</v>
      </c>
      <c r="AB109" s="272"/>
      <c r="AC109" s="272"/>
      <c r="AD109" s="272"/>
      <c r="AE109" s="272"/>
      <c r="AF109" s="247"/>
      <c r="AG109" s="247"/>
      <c r="AH109" s="247"/>
      <c r="AI109" s="247"/>
      <c r="AJ109" s="247"/>
      <c r="AK109" s="247"/>
      <c r="AL109" s="247"/>
      <c r="AM109" s="247"/>
      <c r="AN109" s="247"/>
      <c r="AO109" s="247"/>
      <c r="AP109" s="313" t="s">
        <v>248</v>
      </c>
      <c r="AQ109" s="313"/>
      <c r="AR109" s="313"/>
      <c r="AS109" s="313"/>
      <c r="AT109" s="313"/>
    </row>
    <row r="110" spans="2:46" ht="45" customHeight="1" x14ac:dyDescent="0.3">
      <c r="B110" s="314" t="s">
        <v>249</v>
      </c>
      <c r="C110" s="314"/>
      <c r="D110" s="314"/>
      <c r="E110" s="314"/>
      <c r="F110" s="314"/>
      <c r="G110" s="272" t="s">
        <v>249</v>
      </c>
      <c r="H110" s="272"/>
      <c r="I110" s="272"/>
      <c r="J110" s="272"/>
      <c r="K110" s="272"/>
      <c r="L110" s="272" t="s">
        <v>249</v>
      </c>
      <c r="M110" s="272"/>
      <c r="N110" s="272"/>
      <c r="O110" s="272"/>
      <c r="P110" s="272"/>
      <c r="Q110" s="272" t="s">
        <v>249</v>
      </c>
      <c r="R110" s="272"/>
      <c r="S110" s="272"/>
      <c r="T110" s="272"/>
      <c r="U110" s="272"/>
      <c r="V110" s="272" t="s">
        <v>249</v>
      </c>
      <c r="W110" s="272"/>
      <c r="X110" s="272"/>
      <c r="Y110" s="272"/>
      <c r="Z110" s="272"/>
      <c r="AA110" s="272" t="s">
        <v>249</v>
      </c>
      <c r="AB110" s="272"/>
      <c r="AC110" s="272"/>
      <c r="AD110" s="272"/>
      <c r="AE110" s="272"/>
      <c r="AF110" s="247"/>
      <c r="AG110" s="247"/>
      <c r="AH110" s="247"/>
      <c r="AI110" s="247"/>
      <c r="AJ110" s="247"/>
      <c r="AK110" s="247"/>
      <c r="AL110" s="247"/>
      <c r="AM110" s="247"/>
      <c r="AN110" s="247"/>
      <c r="AO110" s="247"/>
      <c r="AP110" s="313" t="s">
        <v>249</v>
      </c>
      <c r="AQ110" s="313"/>
      <c r="AR110" s="313"/>
      <c r="AS110" s="313"/>
      <c r="AT110" s="313"/>
    </row>
    <row r="111" spans="2:46" ht="45" customHeight="1" x14ac:dyDescent="0.3">
      <c r="B111" s="314" t="s">
        <v>250</v>
      </c>
      <c r="C111" s="314"/>
      <c r="D111" s="314"/>
      <c r="E111" s="314"/>
      <c r="F111" s="314"/>
      <c r="G111" s="272" t="s">
        <v>250</v>
      </c>
      <c r="H111" s="272"/>
      <c r="I111" s="272"/>
      <c r="J111" s="272"/>
      <c r="K111" s="272"/>
      <c r="L111" s="272" t="s">
        <v>250</v>
      </c>
      <c r="M111" s="272"/>
      <c r="N111" s="272"/>
      <c r="O111" s="272"/>
      <c r="P111" s="272"/>
      <c r="Q111" s="272" t="s">
        <v>250</v>
      </c>
      <c r="R111" s="272"/>
      <c r="S111" s="272"/>
      <c r="T111" s="272"/>
      <c r="U111" s="272"/>
      <c r="V111" s="272" t="s">
        <v>250</v>
      </c>
      <c r="W111" s="272"/>
      <c r="X111" s="272"/>
      <c r="Y111" s="272"/>
      <c r="Z111" s="272"/>
      <c r="AA111" s="272" t="s">
        <v>250</v>
      </c>
      <c r="AB111" s="272"/>
      <c r="AC111" s="272"/>
      <c r="AD111" s="272"/>
      <c r="AE111" s="272"/>
      <c r="AF111" s="247" t="s">
        <v>250</v>
      </c>
      <c r="AG111" s="247"/>
      <c r="AH111" s="247"/>
      <c r="AI111" s="247"/>
      <c r="AJ111" s="247"/>
      <c r="AK111" s="247" t="s">
        <v>250</v>
      </c>
      <c r="AL111" s="247"/>
      <c r="AM111" s="247"/>
      <c r="AN111" s="247"/>
      <c r="AO111" s="247"/>
      <c r="AP111" s="313" t="s">
        <v>250</v>
      </c>
      <c r="AQ111" s="313"/>
      <c r="AR111" s="313"/>
      <c r="AS111" s="313"/>
      <c r="AT111" s="313"/>
    </row>
    <row r="112" spans="2:46" ht="45" customHeight="1" x14ac:dyDescent="0.3">
      <c r="B112" s="314"/>
      <c r="C112" s="314"/>
      <c r="D112" s="314"/>
      <c r="E112" s="314"/>
      <c r="F112" s="314"/>
      <c r="G112" s="272"/>
      <c r="H112" s="272"/>
      <c r="I112" s="272"/>
      <c r="J112" s="272"/>
      <c r="K112" s="272"/>
      <c r="L112" s="272"/>
      <c r="M112" s="272"/>
      <c r="N112" s="272"/>
      <c r="O112" s="272"/>
      <c r="P112" s="272"/>
      <c r="Q112" s="272"/>
      <c r="R112" s="272"/>
      <c r="S112" s="272"/>
      <c r="T112" s="272"/>
      <c r="U112" s="272"/>
      <c r="V112" s="272"/>
      <c r="W112" s="272"/>
      <c r="X112" s="272"/>
      <c r="Y112" s="272"/>
      <c r="Z112" s="272"/>
      <c r="AA112" s="272"/>
      <c r="AB112" s="272"/>
      <c r="AC112" s="272"/>
      <c r="AD112" s="272"/>
      <c r="AE112" s="272"/>
      <c r="AF112" s="247"/>
      <c r="AG112" s="247"/>
      <c r="AH112" s="247"/>
      <c r="AI112" s="247"/>
      <c r="AJ112" s="247"/>
      <c r="AK112" s="247"/>
      <c r="AL112" s="247"/>
      <c r="AM112" s="247"/>
      <c r="AN112" s="247"/>
      <c r="AO112" s="247"/>
      <c r="AP112" s="313"/>
      <c r="AQ112" s="313"/>
      <c r="AR112" s="313"/>
      <c r="AS112" s="313"/>
      <c r="AT112" s="313"/>
    </row>
    <row r="113" spans="2:46" ht="45" customHeight="1" x14ac:dyDescent="0.3">
      <c r="B113" s="315" t="s">
        <v>251</v>
      </c>
      <c r="C113" s="315"/>
      <c r="D113" s="315"/>
      <c r="E113" s="315"/>
      <c r="F113" s="315"/>
      <c r="G113" s="316" t="s">
        <v>251</v>
      </c>
      <c r="H113" s="316"/>
      <c r="I113" s="316"/>
      <c r="J113" s="316"/>
      <c r="K113" s="316"/>
      <c r="L113" s="316" t="s">
        <v>251</v>
      </c>
      <c r="M113" s="316"/>
      <c r="N113" s="316"/>
      <c r="O113" s="316"/>
      <c r="P113" s="316"/>
      <c r="Q113" s="316" t="s">
        <v>251</v>
      </c>
      <c r="R113" s="316"/>
      <c r="S113" s="316"/>
      <c r="T113" s="316"/>
      <c r="U113" s="316"/>
      <c r="V113" s="316" t="s">
        <v>251</v>
      </c>
      <c r="W113" s="316"/>
      <c r="X113" s="316"/>
      <c r="Y113" s="316"/>
      <c r="Z113" s="316"/>
      <c r="AA113" s="316" t="s">
        <v>251</v>
      </c>
      <c r="AB113" s="316"/>
      <c r="AC113" s="316"/>
      <c r="AD113" s="316"/>
      <c r="AE113" s="316"/>
      <c r="AF113" s="317" t="s">
        <v>251</v>
      </c>
      <c r="AG113" s="317"/>
      <c r="AH113" s="317"/>
      <c r="AI113" s="317"/>
      <c r="AJ113" s="317"/>
      <c r="AK113" s="317" t="s">
        <v>251</v>
      </c>
      <c r="AL113" s="317"/>
      <c r="AM113" s="317"/>
      <c r="AN113" s="317"/>
      <c r="AO113" s="317"/>
      <c r="AP113" s="318" t="s">
        <v>251</v>
      </c>
      <c r="AQ113" s="318"/>
      <c r="AR113" s="318"/>
      <c r="AS113" s="318"/>
      <c r="AT113" s="318"/>
    </row>
    <row r="114" spans="2:46" ht="45" customHeight="1" x14ac:dyDescent="0.3">
      <c r="B114" s="314" t="s">
        <v>252</v>
      </c>
      <c r="C114" s="314"/>
      <c r="D114" s="314"/>
      <c r="E114" s="314"/>
      <c r="F114" s="314"/>
      <c r="G114" s="272" t="s">
        <v>252</v>
      </c>
      <c r="H114" s="272"/>
      <c r="I114" s="272"/>
      <c r="J114" s="272"/>
      <c r="K114" s="272"/>
      <c r="L114" s="272" t="s">
        <v>252</v>
      </c>
      <c r="M114" s="272"/>
      <c r="N114" s="272"/>
      <c r="O114" s="272"/>
      <c r="P114" s="272"/>
      <c r="Q114" s="272" t="s">
        <v>252</v>
      </c>
      <c r="R114" s="272"/>
      <c r="S114" s="272"/>
      <c r="T114" s="272"/>
      <c r="U114" s="272"/>
      <c r="V114" s="272" t="s">
        <v>252</v>
      </c>
      <c r="W114" s="272"/>
      <c r="X114" s="272"/>
      <c r="Y114" s="272"/>
      <c r="Z114" s="272"/>
      <c r="AA114" s="272" t="s">
        <v>252</v>
      </c>
      <c r="AB114" s="272"/>
      <c r="AC114" s="272"/>
      <c r="AD114" s="272"/>
      <c r="AE114" s="272"/>
      <c r="AF114" s="247"/>
      <c r="AG114" s="247"/>
      <c r="AH114" s="247"/>
      <c r="AI114" s="247"/>
      <c r="AJ114" s="247"/>
      <c r="AK114" s="247"/>
      <c r="AL114" s="247"/>
      <c r="AM114" s="247"/>
      <c r="AN114" s="247"/>
      <c r="AO114" s="247"/>
      <c r="AP114" s="313" t="s">
        <v>252</v>
      </c>
      <c r="AQ114" s="313"/>
      <c r="AR114" s="313"/>
      <c r="AS114" s="313"/>
      <c r="AT114" s="313"/>
    </row>
    <row r="115" spans="2:46" ht="45" customHeight="1" x14ac:dyDescent="0.3">
      <c r="B115" s="314" t="s">
        <v>253</v>
      </c>
      <c r="C115" s="314"/>
      <c r="D115" s="314"/>
      <c r="E115" s="314"/>
      <c r="F115" s="314"/>
      <c r="G115" s="272"/>
      <c r="H115" s="272"/>
      <c r="I115" s="272"/>
      <c r="J115" s="272"/>
      <c r="K115" s="272"/>
      <c r="L115" s="272"/>
      <c r="M115" s="272"/>
      <c r="N115" s="272"/>
      <c r="O115" s="272"/>
      <c r="P115" s="272"/>
      <c r="Q115" s="272"/>
      <c r="R115" s="272"/>
      <c r="S115" s="272"/>
      <c r="T115" s="272"/>
      <c r="U115" s="272"/>
      <c r="V115" s="272"/>
      <c r="W115" s="272"/>
      <c r="X115" s="272"/>
      <c r="Y115" s="272"/>
      <c r="Z115" s="272"/>
      <c r="AA115" s="272"/>
      <c r="AB115" s="272"/>
      <c r="AC115" s="272"/>
      <c r="AD115" s="272"/>
      <c r="AE115" s="272"/>
      <c r="AF115" s="247" t="s">
        <v>253</v>
      </c>
      <c r="AG115" s="247"/>
      <c r="AH115" s="247"/>
      <c r="AI115" s="247"/>
      <c r="AJ115" s="247"/>
      <c r="AK115" s="247" t="s">
        <v>253</v>
      </c>
      <c r="AL115" s="247"/>
      <c r="AM115" s="247"/>
      <c r="AN115" s="247"/>
      <c r="AO115" s="247"/>
      <c r="AP115" s="313"/>
      <c r="AQ115" s="313"/>
      <c r="AR115" s="313"/>
      <c r="AS115" s="313"/>
      <c r="AT115" s="313"/>
    </row>
    <row r="116" spans="2:46" ht="45" customHeight="1" x14ac:dyDescent="0.3">
      <c r="B116" s="301"/>
      <c r="C116" s="301"/>
      <c r="D116" s="301"/>
      <c r="E116" s="301"/>
      <c r="F116" s="301"/>
      <c r="G116" s="302"/>
      <c r="H116" s="302"/>
      <c r="I116" s="302"/>
      <c r="J116" s="302"/>
      <c r="K116" s="302"/>
      <c r="L116" s="302"/>
      <c r="M116" s="302"/>
      <c r="N116" s="302"/>
      <c r="O116" s="302"/>
      <c r="P116" s="302"/>
      <c r="Q116" s="302"/>
      <c r="R116" s="302"/>
      <c r="S116" s="302"/>
      <c r="T116" s="302"/>
      <c r="U116" s="302"/>
      <c r="V116" s="302"/>
      <c r="W116" s="302"/>
      <c r="X116" s="302"/>
      <c r="Y116" s="302"/>
      <c r="Z116" s="302"/>
      <c r="AA116" s="302"/>
      <c r="AB116" s="302"/>
      <c r="AC116" s="302"/>
      <c r="AD116" s="302"/>
      <c r="AE116" s="302"/>
      <c r="AF116" s="303"/>
      <c r="AG116" s="303"/>
      <c r="AH116" s="303"/>
      <c r="AI116" s="303"/>
      <c r="AJ116" s="303"/>
      <c r="AK116" s="303"/>
      <c r="AL116" s="303"/>
      <c r="AM116" s="303"/>
      <c r="AN116" s="303"/>
      <c r="AO116" s="303"/>
      <c r="AP116" s="304"/>
      <c r="AQ116" s="304"/>
      <c r="AR116" s="304"/>
      <c r="AS116" s="304"/>
      <c r="AT116" s="304"/>
    </row>
    <row r="117" spans="2:46" ht="45" customHeight="1" x14ac:dyDescent="0.3">
      <c r="B117" s="305" t="s">
        <v>254</v>
      </c>
      <c r="C117" s="305"/>
      <c r="D117" s="305"/>
      <c r="E117" s="305"/>
      <c r="F117" s="305"/>
      <c r="G117" s="306" t="s">
        <v>254</v>
      </c>
      <c r="H117" s="306"/>
      <c r="I117" s="306"/>
      <c r="J117" s="306"/>
      <c r="K117" s="306"/>
      <c r="L117" s="306" t="s">
        <v>254</v>
      </c>
      <c r="M117" s="306"/>
      <c r="N117" s="306"/>
      <c r="O117" s="306"/>
      <c r="P117" s="306"/>
      <c r="Q117" s="306" t="s">
        <v>254</v>
      </c>
      <c r="R117" s="306"/>
      <c r="S117" s="306"/>
      <c r="T117" s="306"/>
      <c r="U117" s="306"/>
      <c r="V117" s="306" t="s">
        <v>254</v>
      </c>
      <c r="W117" s="306"/>
      <c r="X117" s="306"/>
      <c r="Y117" s="306"/>
      <c r="Z117" s="306"/>
      <c r="AA117" s="306" t="s">
        <v>254</v>
      </c>
      <c r="AB117" s="306"/>
      <c r="AC117" s="306"/>
      <c r="AD117" s="306"/>
      <c r="AE117" s="306"/>
      <c r="AF117" s="307" t="s">
        <v>254</v>
      </c>
      <c r="AG117" s="307"/>
      <c r="AH117" s="307"/>
      <c r="AI117" s="307"/>
      <c r="AJ117" s="307"/>
      <c r="AK117" s="307" t="s">
        <v>254</v>
      </c>
      <c r="AL117" s="307"/>
      <c r="AM117" s="307"/>
      <c r="AN117" s="307"/>
      <c r="AO117" s="307"/>
      <c r="AP117" s="308" t="s">
        <v>254</v>
      </c>
      <c r="AQ117" s="308"/>
      <c r="AR117" s="308"/>
      <c r="AS117" s="308"/>
      <c r="AT117" s="308"/>
    </row>
    <row r="118" spans="2:46" ht="45" customHeight="1" x14ac:dyDescent="0.3">
      <c r="B118" s="301" t="s">
        <v>255</v>
      </c>
      <c r="C118" s="301"/>
      <c r="D118" s="301"/>
      <c r="E118" s="301"/>
      <c r="F118" s="301"/>
      <c r="G118" s="302" t="s">
        <v>255</v>
      </c>
      <c r="H118" s="302"/>
      <c r="I118" s="302"/>
      <c r="J118" s="302"/>
      <c r="K118" s="302"/>
      <c r="L118" s="302"/>
      <c r="M118" s="302"/>
      <c r="N118" s="302"/>
      <c r="O118" s="302"/>
      <c r="P118" s="302"/>
      <c r="Q118" s="302"/>
      <c r="R118" s="302"/>
      <c r="S118" s="302"/>
      <c r="T118" s="302"/>
      <c r="U118" s="302"/>
      <c r="V118" s="302"/>
      <c r="W118" s="302"/>
      <c r="X118" s="302"/>
      <c r="Y118" s="302"/>
      <c r="Z118" s="302"/>
      <c r="AA118" s="302"/>
      <c r="AB118" s="302"/>
      <c r="AC118" s="302"/>
      <c r="AD118" s="302"/>
      <c r="AE118" s="302"/>
      <c r="AF118" s="303"/>
      <c r="AG118" s="303"/>
      <c r="AH118" s="303"/>
      <c r="AI118" s="303"/>
      <c r="AJ118" s="303"/>
      <c r="AK118" s="303"/>
      <c r="AL118" s="303"/>
      <c r="AM118" s="303"/>
      <c r="AN118" s="303"/>
      <c r="AO118" s="303"/>
      <c r="AP118" s="304"/>
      <c r="AQ118" s="304"/>
      <c r="AR118" s="304"/>
      <c r="AS118" s="304"/>
      <c r="AT118" s="304"/>
    </row>
    <row r="119" spans="2:46" ht="45" customHeight="1" x14ac:dyDescent="0.3">
      <c r="B119" s="301" t="s">
        <v>256</v>
      </c>
      <c r="C119" s="301"/>
      <c r="D119" s="301"/>
      <c r="E119" s="301"/>
      <c r="F119" s="301"/>
      <c r="G119" s="302" t="s">
        <v>256</v>
      </c>
      <c r="H119" s="302"/>
      <c r="I119" s="302"/>
      <c r="J119" s="302"/>
      <c r="K119" s="302"/>
      <c r="L119" s="302"/>
      <c r="M119" s="302"/>
      <c r="N119" s="302"/>
      <c r="O119" s="302"/>
      <c r="P119" s="302"/>
      <c r="Q119" s="302"/>
      <c r="R119" s="302"/>
      <c r="S119" s="302"/>
      <c r="T119" s="302"/>
      <c r="U119" s="302"/>
      <c r="V119" s="302"/>
      <c r="W119" s="302"/>
      <c r="X119" s="302"/>
      <c r="Y119" s="302"/>
      <c r="Z119" s="302"/>
      <c r="AA119" s="302"/>
      <c r="AB119" s="302"/>
      <c r="AC119" s="302"/>
      <c r="AD119" s="302"/>
      <c r="AE119" s="302"/>
      <c r="AF119" s="303"/>
      <c r="AG119" s="303"/>
      <c r="AH119" s="303"/>
      <c r="AI119" s="303"/>
      <c r="AJ119" s="303"/>
      <c r="AK119" s="303"/>
      <c r="AL119" s="303"/>
      <c r="AM119" s="303"/>
      <c r="AN119" s="303"/>
      <c r="AO119" s="303"/>
      <c r="AP119" s="304"/>
      <c r="AQ119" s="304"/>
      <c r="AR119" s="304"/>
      <c r="AS119" s="304"/>
      <c r="AT119" s="304"/>
    </row>
    <row r="120" spans="2:46" ht="45" customHeight="1" x14ac:dyDescent="0.3">
      <c r="B120" s="301" t="s">
        <v>257</v>
      </c>
      <c r="C120" s="301"/>
      <c r="D120" s="301"/>
      <c r="E120" s="301"/>
      <c r="F120" s="301"/>
      <c r="G120" s="302" t="s">
        <v>257</v>
      </c>
      <c r="H120" s="302"/>
      <c r="I120" s="302"/>
      <c r="J120" s="302"/>
      <c r="K120" s="302"/>
      <c r="L120" s="302"/>
      <c r="M120" s="302"/>
      <c r="N120" s="302"/>
      <c r="O120" s="302"/>
      <c r="P120" s="302"/>
      <c r="Q120" s="302"/>
      <c r="R120" s="302"/>
      <c r="S120" s="302"/>
      <c r="T120" s="302"/>
      <c r="U120" s="302"/>
      <c r="V120" s="302"/>
      <c r="W120" s="302"/>
      <c r="X120" s="302"/>
      <c r="Y120" s="302"/>
      <c r="Z120" s="302"/>
      <c r="AA120" s="302"/>
      <c r="AB120" s="302"/>
      <c r="AC120" s="302"/>
      <c r="AD120" s="302"/>
      <c r="AE120" s="302"/>
      <c r="AF120" s="303"/>
      <c r="AG120" s="303"/>
      <c r="AH120" s="303"/>
      <c r="AI120" s="303"/>
      <c r="AJ120" s="303"/>
      <c r="AK120" s="303"/>
      <c r="AL120" s="303"/>
      <c r="AM120" s="303"/>
      <c r="AN120" s="303"/>
      <c r="AO120" s="303"/>
      <c r="AP120" s="304"/>
      <c r="AQ120" s="304"/>
      <c r="AR120" s="304"/>
      <c r="AS120" s="304"/>
      <c r="AT120" s="304"/>
    </row>
    <row r="121" spans="2:46" ht="45" customHeight="1" x14ac:dyDescent="0.3">
      <c r="B121" s="301"/>
      <c r="C121" s="301"/>
      <c r="D121" s="301"/>
      <c r="E121" s="301"/>
      <c r="F121" s="301"/>
      <c r="G121" s="302"/>
      <c r="H121" s="302"/>
      <c r="I121" s="302"/>
      <c r="J121" s="302"/>
      <c r="K121" s="302"/>
      <c r="L121" s="302"/>
      <c r="M121" s="302"/>
      <c r="N121" s="302"/>
      <c r="O121" s="302"/>
      <c r="P121" s="302"/>
      <c r="Q121" s="302"/>
      <c r="R121" s="302"/>
      <c r="S121" s="302"/>
      <c r="T121" s="302"/>
      <c r="U121" s="302"/>
      <c r="V121" s="302"/>
      <c r="W121" s="302"/>
      <c r="X121" s="302"/>
      <c r="Y121" s="302"/>
      <c r="Z121" s="302"/>
      <c r="AA121" s="302"/>
      <c r="AB121" s="302"/>
      <c r="AC121" s="302"/>
      <c r="AD121" s="302"/>
      <c r="AE121" s="302"/>
      <c r="AF121" s="303"/>
      <c r="AG121" s="303"/>
      <c r="AH121" s="303"/>
      <c r="AI121" s="303"/>
      <c r="AJ121" s="303"/>
      <c r="AK121" s="303"/>
      <c r="AL121" s="303"/>
      <c r="AM121" s="303"/>
      <c r="AN121" s="303"/>
      <c r="AO121" s="303"/>
      <c r="AP121" s="304"/>
      <c r="AQ121" s="304"/>
      <c r="AR121" s="304"/>
      <c r="AS121" s="304"/>
      <c r="AT121" s="304"/>
    </row>
    <row r="122" spans="2:46" ht="45" customHeight="1" x14ac:dyDescent="0.3">
      <c r="B122" s="305" t="s">
        <v>258</v>
      </c>
      <c r="C122" s="305"/>
      <c r="D122" s="305"/>
      <c r="E122" s="305"/>
      <c r="F122" s="305"/>
      <c r="G122" s="306" t="s">
        <v>258</v>
      </c>
      <c r="H122" s="306"/>
      <c r="I122" s="306"/>
      <c r="J122" s="306"/>
      <c r="K122" s="306"/>
      <c r="L122" s="306" t="s">
        <v>258</v>
      </c>
      <c r="M122" s="306"/>
      <c r="N122" s="306"/>
      <c r="O122" s="306"/>
      <c r="P122" s="306"/>
      <c r="Q122" s="306" t="s">
        <v>258</v>
      </c>
      <c r="R122" s="306"/>
      <c r="S122" s="306"/>
      <c r="T122" s="306"/>
      <c r="U122" s="306"/>
      <c r="V122" s="306" t="s">
        <v>258</v>
      </c>
      <c r="W122" s="306"/>
      <c r="X122" s="306"/>
      <c r="Y122" s="306"/>
      <c r="Z122" s="306"/>
      <c r="AA122" s="306" t="s">
        <v>258</v>
      </c>
      <c r="AB122" s="306"/>
      <c r="AC122" s="306"/>
      <c r="AD122" s="306"/>
      <c r="AE122" s="306"/>
      <c r="AF122" s="307" t="s">
        <v>258</v>
      </c>
      <c r="AG122" s="307"/>
      <c r="AH122" s="307"/>
      <c r="AI122" s="307"/>
      <c r="AJ122" s="307"/>
      <c r="AK122" s="307" t="s">
        <v>258</v>
      </c>
      <c r="AL122" s="307"/>
      <c r="AM122" s="307"/>
      <c r="AN122" s="307"/>
      <c r="AO122" s="307"/>
      <c r="AP122" s="308" t="s">
        <v>258</v>
      </c>
      <c r="AQ122" s="308"/>
      <c r="AR122" s="308"/>
      <c r="AS122" s="308"/>
      <c r="AT122" s="308"/>
    </row>
    <row r="123" spans="2:46" ht="45" customHeight="1" x14ac:dyDescent="0.3">
      <c r="B123" s="301" t="s">
        <v>259</v>
      </c>
      <c r="C123" s="301"/>
      <c r="D123" s="301"/>
      <c r="E123" s="301"/>
      <c r="F123" s="301"/>
      <c r="G123" s="302" t="s">
        <v>259</v>
      </c>
      <c r="H123" s="302"/>
      <c r="I123" s="302"/>
      <c r="J123" s="302"/>
      <c r="K123" s="302"/>
      <c r="L123" s="302"/>
      <c r="M123" s="302"/>
      <c r="N123" s="302"/>
      <c r="O123" s="302"/>
      <c r="P123" s="302"/>
      <c r="Q123" s="302"/>
      <c r="R123" s="302"/>
      <c r="S123" s="302"/>
      <c r="T123" s="302"/>
      <c r="U123" s="302"/>
      <c r="V123" s="302"/>
      <c r="W123" s="302"/>
      <c r="X123" s="302"/>
      <c r="Y123" s="302"/>
      <c r="Z123" s="302"/>
      <c r="AA123" s="302"/>
      <c r="AB123" s="302"/>
      <c r="AC123" s="302"/>
      <c r="AD123" s="302"/>
      <c r="AE123" s="302"/>
      <c r="AF123" s="303"/>
      <c r="AG123" s="303"/>
      <c r="AH123" s="303"/>
      <c r="AI123" s="303"/>
      <c r="AJ123" s="303"/>
      <c r="AK123" s="303"/>
      <c r="AL123" s="303"/>
      <c r="AM123" s="303"/>
      <c r="AN123" s="303"/>
      <c r="AO123" s="303"/>
      <c r="AP123" s="304"/>
      <c r="AQ123" s="304"/>
      <c r="AR123" s="304"/>
      <c r="AS123" s="304"/>
      <c r="AT123" s="304"/>
    </row>
    <row r="124" spans="2:46" ht="45" customHeight="1" x14ac:dyDescent="0.3">
      <c r="B124" s="301" t="s">
        <v>260</v>
      </c>
      <c r="C124" s="301"/>
      <c r="D124" s="301"/>
      <c r="E124" s="301"/>
      <c r="F124" s="301"/>
      <c r="G124" s="302" t="s">
        <v>260</v>
      </c>
      <c r="H124" s="302"/>
      <c r="I124" s="302"/>
      <c r="J124" s="302"/>
      <c r="K124" s="302"/>
      <c r="L124" s="302"/>
      <c r="M124" s="302"/>
      <c r="N124" s="302"/>
      <c r="O124" s="302"/>
      <c r="P124" s="302"/>
      <c r="Q124" s="302"/>
      <c r="R124" s="302"/>
      <c r="S124" s="302"/>
      <c r="T124" s="302"/>
      <c r="U124" s="302"/>
      <c r="V124" s="302"/>
      <c r="W124" s="302"/>
      <c r="X124" s="302"/>
      <c r="Y124" s="302"/>
      <c r="Z124" s="302"/>
      <c r="AA124" s="302"/>
      <c r="AB124" s="302"/>
      <c r="AC124" s="302"/>
      <c r="AD124" s="302"/>
      <c r="AE124" s="302"/>
      <c r="AF124" s="303"/>
      <c r="AG124" s="303"/>
      <c r="AH124" s="303"/>
      <c r="AI124" s="303"/>
      <c r="AJ124" s="303"/>
      <c r="AK124" s="303"/>
      <c r="AL124" s="303"/>
      <c r="AM124" s="303"/>
      <c r="AN124" s="303"/>
      <c r="AO124" s="303"/>
      <c r="AP124" s="304"/>
      <c r="AQ124" s="304"/>
      <c r="AR124" s="304"/>
      <c r="AS124" s="304"/>
      <c r="AT124" s="304"/>
    </row>
    <row r="125" spans="2:46" ht="45" customHeight="1" x14ac:dyDescent="0.3">
      <c r="B125" s="301" t="s">
        <v>261</v>
      </c>
      <c r="C125" s="301"/>
      <c r="D125" s="301"/>
      <c r="E125" s="301"/>
      <c r="F125" s="301"/>
      <c r="G125" s="302" t="s">
        <v>261</v>
      </c>
      <c r="H125" s="302"/>
      <c r="I125" s="302"/>
      <c r="J125" s="302"/>
      <c r="K125" s="302"/>
      <c r="L125" s="302"/>
      <c r="M125" s="302"/>
      <c r="N125" s="302"/>
      <c r="O125" s="302"/>
      <c r="P125" s="302"/>
      <c r="Q125" s="302"/>
      <c r="R125" s="302"/>
      <c r="S125" s="302"/>
      <c r="T125" s="302"/>
      <c r="U125" s="302"/>
      <c r="V125" s="302"/>
      <c r="W125" s="302"/>
      <c r="X125" s="302"/>
      <c r="Y125" s="302"/>
      <c r="Z125" s="302"/>
      <c r="AA125" s="302"/>
      <c r="AB125" s="302"/>
      <c r="AC125" s="302"/>
      <c r="AD125" s="302"/>
      <c r="AE125" s="302"/>
      <c r="AF125" s="303"/>
      <c r="AG125" s="303"/>
      <c r="AH125" s="303"/>
      <c r="AI125" s="303"/>
      <c r="AJ125" s="303"/>
      <c r="AK125" s="303"/>
      <c r="AL125" s="303"/>
      <c r="AM125" s="303"/>
      <c r="AN125" s="303"/>
      <c r="AO125" s="303"/>
      <c r="AP125" s="304"/>
      <c r="AQ125" s="304"/>
      <c r="AR125" s="304"/>
      <c r="AS125" s="304"/>
      <c r="AT125" s="304"/>
    </row>
    <row r="126" spans="2:46" ht="45" customHeight="1" x14ac:dyDescent="0.3">
      <c r="B126" s="301" t="s">
        <v>262</v>
      </c>
      <c r="C126" s="301"/>
      <c r="D126" s="301"/>
      <c r="E126" s="301"/>
      <c r="F126" s="301"/>
      <c r="G126" s="302" t="s">
        <v>262</v>
      </c>
      <c r="H126" s="302"/>
      <c r="I126" s="302"/>
      <c r="J126" s="302"/>
      <c r="K126" s="302"/>
      <c r="L126" s="302" t="s">
        <v>262</v>
      </c>
      <c r="M126" s="302"/>
      <c r="N126" s="302"/>
      <c r="O126" s="302"/>
      <c r="P126" s="302"/>
      <c r="Q126" s="302" t="s">
        <v>262</v>
      </c>
      <c r="R126" s="302"/>
      <c r="S126" s="302"/>
      <c r="T126" s="302"/>
      <c r="U126" s="302"/>
      <c r="V126" s="302" t="s">
        <v>262</v>
      </c>
      <c r="W126" s="302"/>
      <c r="X126" s="302"/>
      <c r="Y126" s="302"/>
      <c r="Z126" s="302"/>
      <c r="AA126" s="302" t="s">
        <v>262</v>
      </c>
      <c r="AB126" s="302"/>
      <c r="AC126" s="302"/>
      <c r="AD126" s="302"/>
      <c r="AE126" s="302"/>
      <c r="AF126" s="302" t="s">
        <v>262</v>
      </c>
      <c r="AG126" s="302"/>
      <c r="AH126" s="302"/>
      <c r="AI126" s="302"/>
      <c r="AJ126" s="302"/>
      <c r="AK126" s="302" t="s">
        <v>262</v>
      </c>
      <c r="AL126" s="302"/>
      <c r="AM126" s="302"/>
      <c r="AN126" s="302"/>
      <c r="AO126" s="302"/>
      <c r="AP126" s="302" t="s">
        <v>262</v>
      </c>
      <c r="AQ126" s="302"/>
      <c r="AR126" s="302"/>
      <c r="AS126" s="302"/>
      <c r="AT126" s="302"/>
    </row>
    <row r="127" spans="2:46" ht="45" customHeight="1" x14ac:dyDescent="0.3">
      <c r="B127" s="301"/>
      <c r="C127" s="301"/>
      <c r="D127" s="301"/>
      <c r="E127" s="301"/>
      <c r="F127" s="301"/>
      <c r="G127" s="302"/>
      <c r="H127" s="302"/>
      <c r="I127" s="302"/>
      <c r="J127" s="302"/>
      <c r="K127" s="302"/>
      <c r="L127" s="302"/>
      <c r="M127" s="302"/>
      <c r="N127" s="302"/>
      <c r="O127" s="302"/>
      <c r="P127" s="302"/>
      <c r="Q127" s="302"/>
      <c r="R127" s="302"/>
      <c r="S127" s="302"/>
      <c r="T127" s="302"/>
      <c r="U127" s="302"/>
      <c r="V127" s="302"/>
      <c r="W127" s="302"/>
      <c r="X127" s="302"/>
      <c r="Y127" s="302"/>
      <c r="Z127" s="302"/>
      <c r="AA127" s="302"/>
      <c r="AB127" s="302"/>
      <c r="AC127" s="302"/>
      <c r="AD127" s="302"/>
      <c r="AE127" s="302"/>
      <c r="AF127" s="303"/>
      <c r="AG127" s="303"/>
      <c r="AH127" s="303"/>
      <c r="AI127" s="303"/>
      <c r="AJ127" s="303"/>
      <c r="AK127" s="303"/>
      <c r="AL127" s="303"/>
      <c r="AM127" s="303"/>
      <c r="AN127" s="303"/>
      <c r="AO127" s="303"/>
      <c r="AP127" s="304"/>
      <c r="AQ127" s="304"/>
      <c r="AR127" s="304"/>
      <c r="AS127" s="304"/>
      <c r="AT127" s="304"/>
    </row>
    <row r="128" spans="2:46" ht="45" customHeight="1" x14ac:dyDescent="0.3">
      <c r="B128" s="309" t="s">
        <v>263</v>
      </c>
      <c r="C128" s="309"/>
      <c r="D128" s="309"/>
      <c r="E128" s="309"/>
      <c r="F128" s="309"/>
      <c r="G128" s="310" t="s">
        <v>263</v>
      </c>
      <c r="H128" s="310"/>
      <c r="I128" s="310"/>
      <c r="J128" s="310"/>
      <c r="K128" s="310"/>
      <c r="L128" s="310" t="s">
        <v>263</v>
      </c>
      <c r="M128" s="310"/>
      <c r="N128" s="310"/>
      <c r="O128" s="310"/>
      <c r="P128" s="310"/>
      <c r="Q128" s="310" t="s">
        <v>263</v>
      </c>
      <c r="R128" s="310"/>
      <c r="S128" s="310"/>
      <c r="T128" s="310"/>
      <c r="U128" s="310"/>
      <c r="V128" s="310" t="s">
        <v>263</v>
      </c>
      <c r="W128" s="310"/>
      <c r="X128" s="310"/>
      <c r="Y128" s="310"/>
      <c r="Z128" s="310"/>
      <c r="AA128" s="310" t="s">
        <v>263</v>
      </c>
      <c r="AB128" s="310"/>
      <c r="AC128" s="310"/>
      <c r="AD128" s="310"/>
      <c r="AE128" s="310"/>
      <c r="AF128" s="311" t="s">
        <v>263</v>
      </c>
      <c r="AG128" s="311"/>
      <c r="AH128" s="311"/>
      <c r="AI128" s="311"/>
      <c r="AJ128" s="311"/>
      <c r="AK128" s="311" t="s">
        <v>263</v>
      </c>
      <c r="AL128" s="311"/>
      <c r="AM128" s="311"/>
      <c r="AN128" s="311"/>
      <c r="AO128" s="311"/>
      <c r="AP128" s="312" t="s">
        <v>263</v>
      </c>
      <c r="AQ128" s="312"/>
      <c r="AR128" s="312"/>
      <c r="AS128" s="312"/>
      <c r="AT128" s="312"/>
    </row>
    <row r="129" spans="2:46" ht="45" customHeight="1" x14ac:dyDescent="0.3">
      <c r="B129" s="301" t="s">
        <v>264</v>
      </c>
      <c r="C129" s="301"/>
      <c r="D129" s="301"/>
      <c r="E129" s="301"/>
      <c r="F129" s="301"/>
      <c r="G129" s="302"/>
      <c r="H129" s="302"/>
      <c r="I129" s="302"/>
      <c r="J129" s="302"/>
      <c r="K129" s="302"/>
      <c r="L129" s="302" t="s">
        <v>264</v>
      </c>
      <c r="M129" s="302"/>
      <c r="N129" s="302"/>
      <c r="O129" s="302"/>
      <c r="P129" s="302"/>
      <c r="Q129" s="302" t="s">
        <v>264</v>
      </c>
      <c r="R129" s="302"/>
      <c r="S129" s="302"/>
      <c r="T129" s="302"/>
      <c r="U129" s="302"/>
      <c r="V129" s="302" t="s">
        <v>264</v>
      </c>
      <c r="W129" s="302"/>
      <c r="X129" s="302"/>
      <c r="Y129" s="302"/>
      <c r="Z129" s="302"/>
      <c r="AA129" s="302" t="s">
        <v>264</v>
      </c>
      <c r="AB129" s="302"/>
      <c r="AC129" s="302"/>
      <c r="AD129" s="302"/>
      <c r="AE129" s="302"/>
      <c r="AF129" s="303" t="s">
        <v>264</v>
      </c>
      <c r="AG129" s="303"/>
      <c r="AH129" s="303"/>
      <c r="AI129" s="303"/>
      <c r="AJ129" s="303"/>
      <c r="AK129" s="303" t="s">
        <v>264</v>
      </c>
      <c r="AL129" s="303"/>
      <c r="AM129" s="303"/>
      <c r="AN129" s="303"/>
      <c r="AO129" s="303"/>
      <c r="AP129" s="304" t="s">
        <v>264</v>
      </c>
      <c r="AQ129" s="304"/>
      <c r="AR129" s="304"/>
      <c r="AS129" s="304"/>
      <c r="AT129" s="304"/>
    </row>
    <row r="130" spans="2:46" ht="45" customHeight="1" x14ac:dyDescent="0.3">
      <c r="B130" s="301" t="s">
        <v>265</v>
      </c>
      <c r="C130" s="301"/>
      <c r="D130" s="301"/>
      <c r="E130" s="301"/>
      <c r="F130" s="301"/>
      <c r="G130" s="302"/>
      <c r="H130" s="302"/>
      <c r="I130" s="302"/>
      <c r="J130" s="302"/>
      <c r="K130" s="302"/>
      <c r="L130" s="302" t="s">
        <v>265</v>
      </c>
      <c r="M130" s="302"/>
      <c r="N130" s="302"/>
      <c r="O130" s="302"/>
      <c r="P130" s="302"/>
      <c r="Q130" s="302" t="s">
        <v>265</v>
      </c>
      <c r="R130" s="302"/>
      <c r="S130" s="302"/>
      <c r="T130" s="302"/>
      <c r="U130" s="302"/>
      <c r="V130" s="302" t="s">
        <v>265</v>
      </c>
      <c r="W130" s="302"/>
      <c r="X130" s="302"/>
      <c r="Y130" s="302"/>
      <c r="Z130" s="302"/>
      <c r="AA130" s="302" t="s">
        <v>265</v>
      </c>
      <c r="AB130" s="302"/>
      <c r="AC130" s="302"/>
      <c r="AD130" s="302"/>
      <c r="AE130" s="302"/>
      <c r="AF130" s="303" t="s">
        <v>265</v>
      </c>
      <c r="AG130" s="303"/>
      <c r="AH130" s="303"/>
      <c r="AI130" s="303"/>
      <c r="AJ130" s="303"/>
      <c r="AK130" s="303" t="s">
        <v>265</v>
      </c>
      <c r="AL130" s="303"/>
      <c r="AM130" s="303"/>
      <c r="AN130" s="303"/>
      <c r="AO130" s="303"/>
      <c r="AP130" s="304" t="s">
        <v>265</v>
      </c>
      <c r="AQ130" s="304"/>
      <c r="AR130" s="304"/>
      <c r="AS130" s="304"/>
      <c r="AT130" s="304"/>
    </row>
    <row r="131" spans="2:46" ht="45" customHeight="1" x14ac:dyDescent="0.3">
      <c r="B131" s="301" t="s">
        <v>266</v>
      </c>
      <c r="C131" s="301"/>
      <c r="D131" s="301"/>
      <c r="E131" s="301"/>
      <c r="F131" s="301"/>
      <c r="G131" s="302" t="s">
        <v>266</v>
      </c>
      <c r="H131" s="302"/>
      <c r="I131" s="302"/>
      <c r="J131" s="302"/>
      <c r="K131" s="302"/>
      <c r="L131" s="302" t="s">
        <v>266</v>
      </c>
      <c r="M131" s="302"/>
      <c r="N131" s="302"/>
      <c r="O131" s="302"/>
      <c r="P131" s="302"/>
      <c r="Q131" s="302" t="s">
        <v>266</v>
      </c>
      <c r="R131" s="302"/>
      <c r="S131" s="302"/>
      <c r="T131" s="302"/>
      <c r="U131" s="302"/>
      <c r="V131" s="302" t="s">
        <v>266</v>
      </c>
      <c r="W131" s="302"/>
      <c r="X131" s="302"/>
      <c r="Y131" s="302"/>
      <c r="Z131" s="302"/>
      <c r="AA131" s="302" t="s">
        <v>266</v>
      </c>
      <c r="AB131" s="302"/>
      <c r="AC131" s="302"/>
      <c r="AD131" s="302"/>
      <c r="AE131" s="302"/>
      <c r="AF131" s="303" t="s">
        <v>266</v>
      </c>
      <c r="AG131" s="303"/>
      <c r="AH131" s="303"/>
      <c r="AI131" s="303"/>
      <c r="AJ131" s="303"/>
      <c r="AK131" s="303" t="s">
        <v>266</v>
      </c>
      <c r="AL131" s="303"/>
      <c r="AM131" s="303"/>
      <c r="AN131" s="303"/>
      <c r="AO131" s="303"/>
      <c r="AP131" s="304" t="s">
        <v>266</v>
      </c>
      <c r="AQ131" s="304"/>
      <c r="AR131" s="304"/>
      <c r="AS131" s="304"/>
      <c r="AT131" s="304"/>
    </row>
    <row r="132" spans="2:46" ht="45" customHeight="1" x14ac:dyDescent="0.3">
      <c r="B132" s="301" t="s">
        <v>267</v>
      </c>
      <c r="C132" s="301"/>
      <c r="D132" s="301"/>
      <c r="E132" s="301"/>
      <c r="F132" s="301"/>
      <c r="G132" s="302" t="s">
        <v>267</v>
      </c>
      <c r="H132" s="302"/>
      <c r="I132" s="302"/>
      <c r="J132" s="302"/>
      <c r="K132" s="302"/>
      <c r="L132" s="302" t="s">
        <v>267</v>
      </c>
      <c r="M132" s="302"/>
      <c r="N132" s="302"/>
      <c r="O132" s="302"/>
      <c r="P132" s="302"/>
      <c r="Q132" s="302" t="s">
        <v>267</v>
      </c>
      <c r="R132" s="302"/>
      <c r="S132" s="302"/>
      <c r="T132" s="302"/>
      <c r="U132" s="302"/>
      <c r="V132" s="302" t="s">
        <v>267</v>
      </c>
      <c r="W132" s="302"/>
      <c r="X132" s="302"/>
      <c r="Y132" s="302"/>
      <c r="Z132" s="302"/>
      <c r="AA132" s="302" t="s">
        <v>267</v>
      </c>
      <c r="AB132" s="302"/>
      <c r="AC132" s="302"/>
      <c r="AD132" s="302"/>
      <c r="AE132" s="302"/>
      <c r="AF132" s="303" t="s">
        <v>267</v>
      </c>
      <c r="AG132" s="303"/>
      <c r="AH132" s="303"/>
      <c r="AI132" s="303"/>
      <c r="AJ132" s="303"/>
      <c r="AK132" s="303" t="s">
        <v>267</v>
      </c>
      <c r="AL132" s="303"/>
      <c r="AM132" s="303"/>
      <c r="AN132" s="303"/>
      <c r="AO132" s="303"/>
      <c r="AP132" s="304" t="s">
        <v>267</v>
      </c>
      <c r="AQ132" s="304"/>
      <c r="AR132" s="304"/>
      <c r="AS132" s="304"/>
      <c r="AT132" s="304"/>
    </row>
    <row r="133" spans="2:46" ht="45" customHeight="1" x14ac:dyDescent="0.3">
      <c r="B133" s="301" t="s">
        <v>268</v>
      </c>
      <c r="C133" s="301"/>
      <c r="D133" s="301"/>
      <c r="E133" s="301"/>
      <c r="F133" s="301"/>
      <c r="G133" s="302"/>
      <c r="H133" s="302"/>
      <c r="I133" s="302"/>
      <c r="J133" s="302"/>
      <c r="K133" s="302"/>
      <c r="L133" s="302" t="s">
        <v>268</v>
      </c>
      <c r="M133" s="302"/>
      <c r="N133" s="302"/>
      <c r="O133" s="302"/>
      <c r="P133" s="302"/>
      <c r="Q133" s="302" t="s">
        <v>268</v>
      </c>
      <c r="R133" s="302"/>
      <c r="S133" s="302"/>
      <c r="T133" s="302"/>
      <c r="U133" s="302"/>
      <c r="V133" s="302" t="s">
        <v>268</v>
      </c>
      <c r="W133" s="302"/>
      <c r="X133" s="302"/>
      <c r="Y133" s="302"/>
      <c r="Z133" s="302"/>
      <c r="AA133" s="302" t="s">
        <v>268</v>
      </c>
      <c r="AB133" s="302"/>
      <c r="AC133" s="302"/>
      <c r="AD133" s="302"/>
      <c r="AE133" s="302"/>
      <c r="AF133" s="303" t="s">
        <v>268</v>
      </c>
      <c r="AG133" s="303"/>
      <c r="AH133" s="303"/>
      <c r="AI133" s="303"/>
      <c r="AJ133" s="303"/>
      <c r="AK133" s="303" t="s">
        <v>268</v>
      </c>
      <c r="AL133" s="303"/>
      <c r="AM133" s="303"/>
      <c r="AN133" s="303"/>
      <c r="AO133" s="303"/>
      <c r="AP133" s="304" t="s">
        <v>268</v>
      </c>
      <c r="AQ133" s="304"/>
      <c r="AR133" s="304"/>
      <c r="AS133" s="304"/>
      <c r="AT133" s="304"/>
    </row>
    <row r="134" spans="2:46" ht="45" customHeight="1" x14ac:dyDescent="0.3">
      <c r="B134" s="301" t="s">
        <v>269</v>
      </c>
      <c r="C134" s="301"/>
      <c r="D134" s="301"/>
      <c r="E134" s="301"/>
      <c r="F134" s="301"/>
      <c r="G134" s="302"/>
      <c r="H134" s="302"/>
      <c r="I134" s="302"/>
      <c r="J134" s="302"/>
      <c r="K134" s="302"/>
      <c r="L134" s="302" t="s">
        <v>269</v>
      </c>
      <c r="M134" s="302"/>
      <c r="N134" s="302"/>
      <c r="O134" s="302"/>
      <c r="P134" s="302"/>
      <c r="Q134" s="302" t="s">
        <v>269</v>
      </c>
      <c r="R134" s="302"/>
      <c r="S134" s="302"/>
      <c r="T134" s="302"/>
      <c r="U134" s="302"/>
      <c r="V134" s="302" t="s">
        <v>269</v>
      </c>
      <c r="W134" s="302"/>
      <c r="X134" s="302"/>
      <c r="Y134" s="302"/>
      <c r="Z134" s="302"/>
      <c r="AA134" s="302" t="s">
        <v>269</v>
      </c>
      <c r="AB134" s="302"/>
      <c r="AC134" s="302"/>
      <c r="AD134" s="302"/>
      <c r="AE134" s="302"/>
      <c r="AF134" s="303" t="s">
        <v>269</v>
      </c>
      <c r="AG134" s="303"/>
      <c r="AH134" s="303"/>
      <c r="AI134" s="303"/>
      <c r="AJ134" s="303"/>
      <c r="AK134" s="303" t="s">
        <v>269</v>
      </c>
      <c r="AL134" s="303"/>
      <c r="AM134" s="303"/>
      <c r="AN134" s="303"/>
      <c r="AO134" s="303"/>
      <c r="AP134" s="304" t="s">
        <v>269</v>
      </c>
      <c r="AQ134" s="304"/>
      <c r="AR134" s="304"/>
      <c r="AS134" s="304"/>
      <c r="AT134" s="304"/>
    </row>
    <row r="135" spans="2:46" ht="45" customHeight="1" x14ac:dyDescent="0.3">
      <c r="B135" s="301" t="s">
        <v>270</v>
      </c>
      <c r="C135" s="301"/>
      <c r="D135" s="301"/>
      <c r="E135" s="301"/>
      <c r="F135" s="301"/>
      <c r="G135" s="302" t="s">
        <v>270</v>
      </c>
      <c r="H135" s="302"/>
      <c r="I135" s="302"/>
      <c r="J135" s="302"/>
      <c r="K135" s="302"/>
      <c r="L135" s="302" t="s">
        <v>270</v>
      </c>
      <c r="M135" s="302"/>
      <c r="N135" s="302"/>
      <c r="O135" s="302"/>
      <c r="P135" s="302"/>
      <c r="Q135" s="302" t="s">
        <v>270</v>
      </c>
      <c r="R135" s="302"/>
      <c r="S135" s="302"/>
      <c r="T135" s="302"/>
      <c r="U135" s="302"/>
      <c r="V135" s="302" t="s">
        <v>270</v>
      </c>
      <c r="W135" s="302"/>
      <c r="X135" s="302"/>
      <c r="Y135" s="302"/>
      <c r="Z135" s="302"/>
      <c r="AA135" s="302" t="s">
        <v>270</v>
      </c>
      <c r="AB135" s="302"/>
      <c r="AC135" s="302"/>
      <c r="AD135" s="302"/>
      <c r="AE135" s="302"/>
      <c r="AF135" s="303" t="s">
        <v>270</v>
      </c>
      <c r="AG135" s="303"/>
      <c r="AH135" s="303"/>
      <c r="AI135" s="303"/>
      <c r="AJ135" s="303"/>
      <c r="AK135" s="303" t="s">
        <v>270</v>
      </c>
      <c r="AL135" s="303"/>
      <c r="AM135" s="303"/>
      <c r="AN135" s="303"/>
      <c r="AO135" s="303"/>
      <c r="AP135" s="304" t="s">
        <v>270</v>
      </c>
      <c r="AQ135" s="304"/>
      <c r="AR135" s="304"/>
      <c r="AS135" s="304"/>
      <c r="AT135" s="304"/>
    </row>
    <row r="136" spans="2:46" ht="45" customHeight="1" x14ac:dyDescent="0.3">
      <c r="B136" s="301"/>
      <c r="C136" s="301"/>
      <c r="D136" s="301"/>
      <c r="E136" s="301"/>
      <c r="F136" s="301"/>
      <c r="G136" s="302"/>
      <c r="H136" s="302"/>
      <c r="I136" s="302"/>
      <c r="J136" s="302"/>
      <c r="K136" s="302"/>
      <c r="L136" s="302"/>
      <c r="M136" s="302"/>
      <c r="N136" s="302"/>
      <c r="O136" s="302"/>
      <c r="P136" s="302"/>
      <c r="Q136" s="302"/>
      <c r="R136" s="302"/>
      <c r="S136" s="302"/>
      <c r="T136" s="302"/>
      <c r="U136" s="302"/>
      <c r="V136" s="302"/>
      <c r="W136" s="302"/>
      <c r="X136" s="302"/>
      <c r="Y136" s="302"/>
      <c r="Z136" s="302"/>
      <c r="AA136" s="302"/>
      <c r="AB136" s="302"/>
      <c r="AC136" s="302"/>
      <c r="AD136" s="302"/>
      <c r="AE136" s="302"/>
      <c r="AF136" s="303"/>
      <c r="AG136" s="303"/>
      <c r="AH136" s="303"/>
      <c r="AI136" s="303"/>
      <c r="AJ136" s="303"/>
      <c r="AK136" s="303"/>
      <c r="AL136" s="303"/>
      <c r="AM136" s="303"/>
      <c r="AN136" s="303"/>
      <c r="AO136" s="303"/>
      <c r="AP136" s="304"/>
      <c r="AQ136" s="304"/>
      <c r="AR136" s="304"/>
      <c r="AS136" s="304"/>
      <c r="AT136" s="304"/>
    </row>
    <row r="137" spans="2:46" ht="45" customHeight="1" x14ac:dyDescent="0.3">
      <c r="B137" s="309" t="s">
        <v>271</v>
      </c>
      <c r="C137" s="309"/>
      <c r="D137" s="309"/>
      <c r="E137" s="309"/>
      <c r="F137" s="309"/>
      <c r="G137" s="306" t="s">
        <v>271</v>
      </c>
      <c r="H137" s="306"/>
      <c r="I137" s="306"/>
      <c r="J137" s="306"/>
      <c r="K137" s="306"/>
      <c r="L137" s="306" t="s">
        <v>271</v>
      </c>
      <c r="M137" s="306"/>
      <c r="N137" s="306"/>
      <c r="O137" s="306"/>
      <c r="P137" s="306"/>
      <c r="Q137" s="306" t="s">
        <v>271</v>
      </c>
      <c r="R137" s="306"/>
      <c r="S137" s="306"/>
      <c r="T137" s="306"/>
      <c r="U137" s="306"/>
      <c r="V137" s="306" t="s">
        <v>271</v>
      </c>
      <c r="W137" s="306"/>
      <c r="X137" s="306"/>
      <c r="Y137" s="306"/>
      <c r="Z137" s="306"/>
      <c r="AA137" s="306" t="s">
        <v>271</v>
      </c>
      <c r="AB137" s="306"/>
      <c r="AC137" s="306"/>
      <c r="AD137" s="306"/>
      <c r="AE137" s="306"/>
      <c r="AF137" s="307" t="s">
        <v>271</v>
      </c>
      <c r="AG137" s="307"/>
      <c r="AH137" s="307"/>
      <c r="AI137" s="307"/>
      <c r="AJ137" s="307"/>
      <c r="AK137" s="307" t="s">
        <v>271</v>
      </c>
      <c r="AL137" s="307"/>
      <c r="AM137" s="307"/>
      <c r="AN137" s="307"/>
      <c r="AO137" s="307"/>
      <c r="AP137" s="308" t="s">
        <v>271</v>
      </c>
      <c r="AQ137" s="308"/>
      <c r="AR137" s="308"/>
      <c r="AS137" s="308"/>
      <c r="AT137" s="308"/>
    </row>
    <row r="138" spans="2:46" ht="45" customHeight="1" x14ac:dyDescent="0.3">
      <c r="B138" s="301" t="s">
        <v>272</v>
      </c>
      <c r="C138" s="301"/>
      <c r="D138" s="301"/>
      <c r="E138" s="301"/>
      <c r="F138" s="301"/>
      <c r="G138" s="302" t="s">
        <v>272</v>
      </c>
      <c r="H138" s="302"/>
      <c r="I138" s="302"/>
      <c r="J138" s="302"/>
      <c r="K138" s="302"/>
      <c r="L138" s="302"/>
      <c r="M138" s="302"/>
      <c r="N138" s="302"/>
      <c r="O138" s="302"/>
      <c r="P138" s="302"/>
      <c r="Q138" s="302"/>
      <c r="R138" s="302"/>
      <c r="S138" s="302"/>
      <c r="T138" s="302"/>
      <c r="U138" s="302"/>
      <c r="V138" s="302"/>
      <c r="W138" s="302"/>
      <c r="X138" s="302"/>
      <c r="Y138" s="302"/>
      <c r="Z138" s="302"/>
      <c r="AA138" s="302"/>
      <c r="AB138" s="302"/>
      <c r="AC138" s="302"/>
      <c r="AD138" s="302"/>
      <c r="AE138" s="302"/>
      <c r="AF138" s="303"/>
      <c r="AG138" s="303"/>
      <c r="AH138" s="303"/>
      <c r="AI138" s="303"/>
      <c r="AJ138" s="303"/>
      <c r="AK138" s="303"/>
      <c r="AL138" s="303"/>
      <c r="AM138" s="303"/>
      <c r="AN138" s="303"/>
      <c r="AO138" s="303"/>
      <c r="AP138" s="304"/>
      <c r="AQ138" s="304"/>
      <c r="AR138" s="304"/>
      <c r="AS138" s="304"/>
      <c r="AT138" s="304"/>
    </row>
    <row r="139" spans="2:46" ht="45" customHeight="1" x14ac:dyDescent="0.3">
      <c r="B139" s="301" t="s">
        <v>273</v>
      </c>
      <c r="C139" s="301"/>
      <c r="D139" s="301"/>
      <c r="E139" s="301"/>
      <c r="F139" s="301"/>
      <c r="G139" s="302" t="s">
        <v>273</v>
      </c>
      <c r="H139" s="302"/>
      <c r="I139" s="302"/>
      <c r="J139" s="302"/>
      <c r="K139" s="302"/>
      <c r="L139" s="302"/>
      <c r="M139" s="302"/>
      <c r="N139" s="302"/>
      <c r="O139" s="302"/>
      <c r="P139" s="302"/>
      <c r="Q139" s="302"/>
      <c r="R139" s="302"/>
      <c r="S139" s="302"/>
      <c r="T139" s="302"/>
      <c r="U139" s="302"/>
      <c r="V139" s="302"/>
      <c r="W139" s="302"/>
      <c r="X139" s="302"/>
      <c r="Y139" s="302"/>
      <c r="Z139" s="302"/>
      <c r="AA139" s="302"/>
      <c r="AB139" s="302"/>
      <c r="AC139" s="302"/>
      <c r="AD139" s="302"/>
      <c r="AE139" s="302"/>
      <c r="AF139" s="303"/>
      <c r="AG139" s="303"/>
      <c r="AH139" s="303"/>
      <c r="AI139" s="303"/>
      <c r="AJ139" s="303"/>
      <c r="AK139" s="303"/>
      <c r="AL139" s="303"/>
      <c r="AM139" s="303"/>
      <c r="AN139" s="303"/>
      <c r="AO139" s="303"/>
      <c r="AP139" s="304"/>
      <c r="AQ139" s="304"/>
      <c r="AR139" s="304"/>
      <c r="AS139" s="304"/>
      <c r="AT139" s="304"/>
    </row>
    <row r="140" spans="2:46" ht="45" customHeight="1" x14ac:dyDescent="0.3">
      <c r="B140" s="301" t="s">
        <v>274</v>
      </c>
      <c r="C140" s="301"/>
      <c r="D140" s="301"/>
      <c r="E140" s="301"/>
      <c r="F140" s="301"/>
      <c r="G140" s="302" t="s">
        <v>274</v>
      </c>
      <c r="H140" s="302"/>
      <c r="I140" s="302"/>
      <c r="J140" s="302"/>
      <c r="K140" s="302"/>
      <c r="L140" s="302"/>
      <c r="M140" s="302"/>
      <c r="N140" s="302"/>
      <c r="O140" s="302"/>
      <c r="P140" s="302"/>
      <c r="Q140" s="302"/>
      <c r="R140" s="302"/>
      <c r="S140" s="302"/>
      <c r="T140" s="302"/>
      <c r="U140" s="302"/>
      <c r="V140" s="302"/>
      <c r="W140" s="302"/>
      <c r="X140" s="302"/>
      <c r="Y140" s="302"/>
      <c r="Z140" s="302"/>
      <c r="AA140" s="302"/>
      <c r="AB140" s="302"/>
      <c r="AC140" s="302"/>
      <c r="AD140" s="302"/>
      <c r="AE140" s="302"/>
      <c r="AF140" s="303"/>
      <c r="AG140" s="303"/>
      <c r="AH140" s="303"/>
      <c r="AI140" s="303"/>
      <c r="AJ140" s="303"/>
      <c r="AK140" s="303"/>
      <c r="AL140" s="303"/>
      <c r="AM140" s="303"/>
      <c r="AN140" s="303"/>
      <c r="AO140" s="303"/>
      <c r="AP140" s="304"/>
      <c r="AQ140" s="304"/>
      <c r="AR140" s="304"/>
      <c r="AS140" s="304"/>
      <c r="AT140" s="304"/>
    </row>
    <row r="141" spans="2:46" ht="45" customHeight="1" x14ac:dyDescent="0.3">
      <c r="B141" s="301" t="s">
        <v>275</v>
      </c>
      <c r="C141" s="301"/>
      <c r="D141" s="301"/>
      <c r="E141" s="301"/>
      <c r="F141" s="301"/>
      <c r="G141" s="302" t="s">
        <v>275</v>
      </c>
      <c r="H141" s="302"/>
      <c r="I141" s="302"/>
      <c r="J141" s="302"/>
      <c r="K141" s="302"/>
      <c r="L141" s="302" t="s">
        <v>275</v>
      </c>
      <c r="M141" s="302"/>
      <c r="N141" s="302"/>
      <c r="O141" s="302"/>
      <c r="P141" s="302"/>
      <c r="Q141" s="302" t="s">
        <v>275</v>
      </c>
      <c r="R141" s="302"/>
      <c r="S141" s="302"/>
      <c r="T141" s="302"/>
      <c r="U141" s="302"/>
      <c r="V141" s="302" t="s">
        <v>275</v>
      </c>
      <c r="W141" s="302"/>
      <c r="X141" s="302"/>
      <c r="Y141" s="302"/>
      <c r="Z141" s="302"/>
      <c r="AA141" s="302" t="s">
        <v>275</v>
      </c>
      <c r="AB141" s="302"/>
      <c r="AC141" s="302"/>
      <c r="AD141" s="302"/>
      <c r="AE141" s="302"/>
      <c r="AF141" s="302" t="s">
        <v>275</v>
      </c>
      <c r="AG141" s="302"/>
      <c r="AH141" s="302"/>
      <c r="AI141" s="302"/>
      <c r="AJ141" s="302"/>
      <c r="AK141" s="302" t="s">
        <v>275</v>
      </c>
      <c r="AL141" s="302"/>
      <c r="AM141" s="302"/>
      <c r="AN141" s="302"/>
      <c r="AO141" s="302"/>
      <c r="AP141" s="302" t="s">
        <v>275</v>
      </c>
      <c r="AQ141" s="302"/>
      <c r="AR141" s="302"/>
      <c r="AS141" s="302"/>
      <c r="AT141" s="302"/>
    </row>
    <row r="142" spans="2:46" ht="45" customHeight="1" x14ac:dyDescent="0.3">
      <c r="B142" s="301"/>
      <c r="C142" s="301"/>
      <c r="D142" s="301"/>
      <c r="E142" s="301"/>
      <c r="F142" s="301"/>
      <c r="G142" s="302"/>
      <c r="H142" s="302"/>
      <c r="I142" s="302"/>
      <c r="J142" s="302"/>
      <c r="K142" s="302"/>
      <c r="L142" s="302"/>
      <c r="M142" s="302"/>
      <c r="N142" s="302"/>
      <c r="O142" s="302"/>
      <c r="P142" s="302"/>
      <c r="Q142" s="302"/>
      <c r="R142" s="302"/>
      <c r="S142" s="302"/>
      <c r="T142" s="302"/>
      <c r="U142" s="302"/>
      <c r="V142" s="302"/>
      <c r="W142" s="302"/>
      <c r="X142" s="302"/>
      <c r="Y142" s="302"/>
      <c r="Z142" s="302"/>
      <c r="AA142" s="302"/>
      <c r="AB142" s="302"/>
      <c r="AC142" s="302"/>
      <c r="AD142" s="302"/>
      <c r="AE142" s="302"/>
      <c r="AF142" s="303"/>
      <c r="AG142" s="303"/>
      <c r="AH142" s="303"/>
      <c r="AI142" s="303"/>
      <c r="AJ142" s="303"/>
      <c r="AK142" s="303"/>
      <c r="AL142" s="303"/>
      <c r="AM142" s="303"/>
      <c r="AN142" s="303"/>
      <c r="AO142" s="303"/>
      <c r="AP142" s="304"/>
      <c r="AQ142" s="304"/>
      <c r="AR142" s="304"/>
      <c r="AS142" s="304"/>
      <c r="AT142" s="304"/>
    </row>
    <row r="143" spans="2:46" ht="45" customHeight="1" x14ac:dyDescent="0.3">
      <c r="B143" s="305" t="s">
        <v>276</v>
      </c>
      <c r="C143" s="305"/>
      <c r="D143" s="305"/>
      <c r="E143" s="305"/>
      <c r="F143" s="305"/>
      <c r="G143" s="306" t="s">
        <v>276</v>
      </c>
      <c r="H143" s="306"/>
      <c r="I143" s="306"/>
      <c r="J143" s="306"/>
      <c r="K143" s="306"/>
      <c r="L143" s="306" t="s">
        <v>276</v>
      </c>
      <c r="M143" s="306"/>
      <c r="N143" s="306"/>
      <c r="O143" s="306"/>
      <c r="P143" s="306"/>
      <c r="Q143" s="306" t="s">
        <v>276</v>
      </c>
      <c r="R143" s="306"/>
      <c r="S143" s="306"/>
      <c r="T143" s="306"/>
      <c r="U143" s="306"/>
      <c r="V143" s="306" t="s">
        <v>276</v>
      </c>
      <c r="W143" s="306"/>
      <c r="X143" s="306"/>
      <c r="Y143" s="306"/>
      <c r="Z143" s="306"/>
      <c r="AA143" s="306" t="s">
        <v>276</v>
      </c>
      <c r="AB143" s="306"/>
      <c r="AC143" s="306"/>
      <c r="AD143" s="306"/>
      <c r="AE143" s="306"/>
      <c r="AF143" s="307" t="s">
        <v>276</v>
      </c>
      <c r="AG143" s="307"/>
      <c r="AH143" s="307"/>
      <c r="AI143" s="307"/>
      <c r="AJ143" s="307"/>
      <c r="AK143" s="307" t="s">
        <v>276</v>
      </c>
      <c r="AL143" s="307"/>
      <c r="AM143" s="307"/>
      <c r="AN143" s="307"/>
      <c r="AO143" s="307"/>
      <c r="AP143" s="308" t="s">
        <v>276</v>
      </c>
      <c r="AQ143" s="308"/>
      <c r="AR143" s="308"/>
      <c r="AS143" s="308"/>
      <c r="AT143" s="308"/>
    </row>
    <row r="144" spans="2:46" ht="45" customHeight="1" x14ac:dyDescent="0.3">
      <c r="B144" s="301" t="s">
        <v>277</v>
      </c>
      <c r="C144" s="301"/>
      <c r="D144" s="301"/>
      <c r="E144" s="301"/>
      <c r="F144" s="301"/>
      <c r="G144" s="302" t="s">
        <v>277</v>
      </c>
      <c r="H144" s="302"/>
      <c r="I144" s="302"/>
      <c r="J144" s="302"/>
      <c r="K144" s="302"/>
      <c r="L144" s="302"/>
      <c r="M144" s="302"/>
      <c r="N144" s="302"/>
      <c r="O144" s="302"/>
      <c r="P144" s="302"/>
      <c r="Q144" s="302"/>
      <c r="R144" s="302"/>
      <c r="S144" s="302"/>
      <c r="T144" s="302"/>
      <c r="U144" s="302"/>
      <c r="V144" s="302"/>
      <c r="W144" s="302"/>
      <c r="X144" s="302"/>
      <c r="Y144" s="302"/>
      <c r="Z144" s="302"/>
      <c r="AA144" s="302"/>
      <c r="AB144" s="302"/>
      <c r="AC144" s="302"/>
      <c r="AD144" s="302"/>
      <c r="AE144" s="302"/>
      <c r="AF144" s="303"/>
      <c r="AG144" s="303"/>
      <c r="AH144" s="303"/>
      <c r="AI144" s="303"/>
      <c r="AJ144" s="303"/>
      <c r="AK144" s="303"/>
      <c r="AL144" s="303"/>
      <c r="AM144" s="303"/>
      <c r="AN144" s="303"/>
      <c r="AO144" s="303"/>
      <c r="AP144" s="304"/>
      <c r="AQ144" s="304"/>
      <c r="AR144" s="304"/>
      <c r="AS144" s="304"/>
      <c r="AT144" s="304"/>
    </row>
    <row r="145" spans="2:46" ht="45" customHeight="1" x14ac:dyDescent="0.3">
      <c r="B145" s="301" t="s">
        <v>278</v>
      </c>
      <c r="C145" s="301"/>
      <c r="D145" s="301"/>
      <c r="E145" s="301"/>
      <c r="F145" s="301"/>
      <c r="G145" s="302" t="s">
        <v>278</v>
      </c>
      <c r="H145" s="302"/>
      <c r="I145" s="302"/>
      <c r="J145" s="302"/>
      <c r="K145" s="302"/>
      <c r="L145" s="302"/>
      <c r="M145" s="302"/>
      <c r="N145" s="302"/>
      <c r="O145" s="302"/>
      <c r="P145" s="302"/>
      <c r="Q145" s="302"/>
      <c r="R145" s="302"/>
      <c r="S145" s="302"/>
      <c r="T145" s="302"/>
      <c r="U145" s="302"/>
      <c r="V145" s="302"/>
      <c r="W145" s="302"/>
      <c r="X145" s="302"/>
      <c r="Y145" s="302"/>
      <c r="Z145" s="302"/>
      <c r="AA145" s="302"/>
      <c r="AB145" s="302"/>
      <c r="AC145" s="302"/>
      <c r="AD145" s="302"/>
      <c r="AE145" s="302"/>
      <c r="AF145" s="303"/>
      <c r="AG145" s="303"/>
      <c r="AH145" s="303"/>
      <c r="AI145" s="303"/>
      <c r="AJ145" s="303"/>
      <c r="AK145" s="303"/>
      <c r="AL145" s="303"/>
      <c r="AM145" s="303"/>
      <c r="AN145" s="303"/>
      <c r="AO145" s="303"/>
      <c r="AP145" s="304"/>
      <c r="AQ145" s="304"/>
      <c r="AR145" s="304"/>
      <c r="AS145" s="304"/>
      <c r="AT145" s="304"/>
    </row>
    <row r="146" spans="2:46" ht="45" customHeight="1" x14ac:dyDescent="0.3">
      <c r="B146" s="301" t="s">
        <v>279</v>
      </c>
      <c r="C146" s="301"/>
      <c r="D146" s="301"/>
      <c r="E146" s="301"/>
      <c r="F146" s="301"/>
      <c r="G146" s="302" t="s">
        <v>279</v>
      </c>
      <c r="H146" s="302"/>
      <c r="I146" s="302"/>
      <c r="J146" s="302"/>
      <c r="K146" s="302"/>
      <c r="L146" s="302"/>
      <c r="M146" s="302"/>
      <c r="N146" s="302"/>
      <c r="O146" s="302"/>
      <c r="P146" s="302"/>
      <c r="Q146" s="302"/>
      <c r="R146" s="302"/>
      <c r="S146" s="302"/>
      <c r="T146" s="302"/>
      <c r="U146" s="302"/>
      <c r="V146" s="302"/>
      <c r="W146" s="302"/>
      <c r="X146" s="302"/>
      <c r="Y146" s="302"/>
      <c r="Z146" s="302"/>
      <c r="AA146" s="302"/>
      <c r="AB146" s="302"/>
      <c r="AC146" s="302"/>
      <c r="AD146" s="302"/>
      <c r="AE146" s="302"/>
      <c r="AF146" s="303"/>
      <c r="AG146" s="303"/>
      <c r="AH146" s="303"/>
      <c r="AI146" s="303"/>
      <c r="AJ146" s="303"/>
      <c r="AK146" s="303"/>
      <c r="AL146" s="303"/>
      <c r="AM146" s="303"/>
      <c r="AN146" s="303"/>
      <c r="AO146" s="303"/>
      <c r="AP146" s="304"/>
      <c r="AQ146" s="304"/>
      <c r="AR146" s="304"/>
      <c r="AS146" s="304"/>
      <c r="AT146" s="304"/>
    </row>
    <row r="147" spans="2:46" ht="45" customHeight="1" x14ac:dyDescent="0.3">
      <c r="B147" s="301" t="s">
        <v>280</v>
      </c>
      <c r="C147" s="301"/>
      <c r="D147" s="301"/>
      <c r="E147" s="301"/>
      <c r="F147" s="301"/>
      <c r="G147" s="302" t="s">
        <v>280</v>
      </c>
      <c r="H147" s="302"/>
      <c r="I147" s="302"/>
      <c r="J147" s="302"/>
      <c r="K147" s="302"/>
      <c r="L147" s="302"/>
      <c r="M147" s="302"/>
      <c r="N147" s="302"/>
      <c r="O147" s="302"/>
      <c r="P147" s="302"/>
      <c r="Q147" s="302"/>
      <c r="R147" s="302"/>
      <c r="S147" s="302"/>
      <c r="T147" s="302"/>
      <c r="U147" s="302"/>
      <c r="V147" s="302"/>
      <c r="W147" s="302"/>
      <c r="X147" s="302"/>
      <c r="Y147" s="302"/>
      <c r="Z147" s="302"/>
      <c r="AA147" s="302"/>
      <c r="AB147" s="302"/>
      <c r="AC147" s="302"/>
      <c r="AD147" s="302"/>
      <c r="AE147" s="302"/>
      <c r="AF147" s="303"/>
      <c r="AG147" s="303"/>
      <c r="AH147" s="303"/>
      <c r="AI147" s="303"/>
      <c r="AJ147" s="303"/>
      <c r="AK147" s="303"/>
      <c r="AL147" s="303"/>
      <c r="AM147" s="303"/>
      <c r="AN147" s="303"/>
      <c r="AO147" s="303"/>
      <c r="AP147" s="304"/>
      <c r="AQ147" s="304"/>
      <c r="AR147" s="304"/>
      <c r="AS147" s="304"/>
      <c r="AT147" s="304"/>
    </row>
    <row r="148" spans="2:46" ht="45" customHeight="1" x14ac:dyDescent="0.3">
      <c r="B148" s="301" t="s">
        <v>281</v>
      </c>
      <c r="C148" s="301"/>
      <c r="D148" s="301"/>
      <c r="E148" s="301"/>
      <c r="F148" s="301"/>
      <c r="G148" s="302" t="s">
        <v>281</v>
      </c>
      <c r="H148" s="302"/>
      <c r="I148" s="302"/>
      <c r="J148" s="302"/>
      <c r="K148" s="302"/>
      <c r="L148" s="302"/>
      <c r="M148" s="302"/>
      <c r="N148" s="302"/>
      <c r="O148" s="302"/>
      <c r="P148" s="302"/>
      <c r="Q148" s="302"/>
      <c r="R148" s="302"/>
      <c r="S148" s="302"/>
      <c r="T148" s="302"/>
      <c r="U148" s="302"/>
      <c r="V148" s="302"/>
      <c r="W148" s="302"/>
      <c r="X148" s="302"/>
      <c r="Y148" s="302"/>
      <c r="Z148" s="302"/>
      <c r="AA148" s="302"/>
      <c r="AB148" s="302"/>
      <c r="AC148" s="302"/>
      <c r="AD148" s="302"/>
      <c r="AE148" s="302"/>
      <c r="AF148" s="303"/>
      <c r="AG148" s="303"/>
      <c r="AH148" s="303"/>
      <c r="AI148" s="303"/>
      <c r="AJ148" s="303"/>
      <c r="AK148" s="303"/>
      <c r="AL148" s="303"/>
      <c r="AM148" s="303"/>
      <c r="AN148" s="303"/>
      <c r="AO148" s="303"/>
      <c r="AP148" s="304"/>
      <c r="AQ148" s="304"/>
      <c r="AR148" s="304"/>
      <c r="AS148" s="304"/>
      <c r="AT148" s="304"/>
    </row>
    <row r="149" spans="2:46" ht="45" customHeight="1" x14ac:dyDescent="0.3">
      <c r="B149" s="301" t="s">
        <v>279</v>
      </c>
      <c r="C149" s="301"/>
      <c r="D149" s="301"/>
      <c r="E149" s="301"/>
      <c r="F149" s="301"/>
      <c r="G149" s="302" t="s">
        <v>279</v>
      </c>
      <c r="H149" s="302"/>
      <c r="I149" s="302"/>
      <c r="J149" s="302"/>
      <c r="K149" s="302"/>
      <c r="L149" s="302"/>
      <c r="M149" s="302"/>
      <c r="N149" s="302"/>
      <c r="O149" s="302"/>
      <c r="P149" s="302"/>
      <c r="Q149" s="302"/>
      <c r="R149" s="302"/>
      <c r="S149" s="302"/>
      <c r="T149" s="302"/>
      <c r="U149" s="302"/>
      <c r="V149" s="302"/>
      <c r="W149" s="302"/>
      <c r="X149" s="302"/>
      <c r="Y149" s="302"/>
      <c r="Z149" s="302"/>
      <c r="AA149" s="302"/>
      <c r="AB149" s="302"/>
      <c r="AC149" s="302"/>
      <c r="AD149" s="302"/>
      <c r="AE149" s="302"/>
      <c r="AF149" s="303"/>
      <c r="AG149" s="303"/>
      <c r="AH149" s="303"/>
      <c r="AI149" s="303"/>
      <c r="AJ149" s="303"/>
      <c r="AK149" s="303"/>
      <c r="AL149" s="303"/>
      <c r="AM149" s="303"/>
      <c r="AN149" s="303"/>
      <c r="AO149" s="303"/>
      <c r="AP149" s="304"/>
      <c r="AQ149" s="304"/>
      <c r="AR149" s="304"/>
      <c r="AS149" s="304"/>
      <c r="AT149" s="304"/>
    </row>
    <row r="150" spans="2:46" ht="45" customHeight="1" x14ac:dyDescent="0.3">
      <c r="B150" s="301"/>
      <c r="C150" s="301"/>
      <c r="D150" s="301"/>
      <c r="E150" s="301"/>
      <c r="F150" s="301"/>
      <c r="G150" s="302"/>
      <c r="H150" s="302"/>
      <c r="I150" s="302"/>
      <c r="J150" s="302"/>
      <c r="K150" s="302"/>
      <c r="L150" s="302"/>
      <c r="M150" s="302"/>
      <c r="N150" s="302"/>
      <c r="O150" s="302"/>
      <c r="P150" s="302"/>
      <c r="Q150" s="302"/>
      <c r="R150" s="302"/>
      <c r="S150" s="302"/>
      <c r="T150" s="302"/>
      <c r="U150" s="302"/>
      <c r="V150" s="302"/>
      <c r="W150" s="302"/>
      <c r="X150" s="302"/>
      <c r="Y150" s="302"/>
      <c r="Z150" s="302"/>
      <c r="AA150" s="302"/>
      <c r="AB150" s="302"/>
      <c r="AC150" s="302"/>
      <c r="AD150" s="302"/>
      <c r="AE150" s="302"/>
      <c r="AF150" s="303"/>
      <c r="AG150" s="303"/>
      <c r="AH150" s="303"/>
      <c r="AI150" s="303"/>
      <c r="AJ150" s="303"/>
      <c r="AK150" s="303"/>
      <c r="AL150" s="303"/>
      <c r="AM150" s="303"/>
      <c r="AN150" s="303"/>
      <c r="AO150" s="303"/>
      <c r="AP150" s="304"/>
      <c r="AQ150" s="304"/>
      <c r="AR150" s="304"/>
      <c r="AS150" s="304"/>
      <c r="AT150" s="304"/>
    </row>
    <row r="151" spans="2:46" ht="45" customHeight="1" x14ac:dyDescent="0.3">
      <c r="B151" s="305" t="s">
        <v>282</v>
      </c>
      <c r="C151" s="305"/>
      <c r="D151" s="305"/>
      <c r="E151" s="305"/>
      <c r="F151" s="305"/>
      <c r="G151" s="306" t="s">
        <v>282</v>
      </c>
      <c r="H151" s="306"/>
      <c r="I151" s="306"/>
      <c r="J151" s="306"/>
      <c r="K151" s="306"/>
      <c r="L151" s="306" t="s">
        <v>282</v>
      </c>
      <c r="M151" s="306"/>
      <c r="N151" s="306"/>
      <c r="O151" s="306"/>
      <c r="P151" s="306"/>
      <c r="Q151" s="306" t="s">
        <v>282</v>
      </c>
      <c r="R151" s="306"/>
      <c r="S151" s="306"/>
      <c r="T151" s="306"/>
      <c r="U151" s="306"/>
      <c r="V151" s="306" t="s">
        <v>282</v>
      </c>
      <c r="W151" s="306"/>
      <c r="X151" s="306"/>
      <c r="Y151" s="306"/>
      <c r="Z151" s="306"/>
      <c r="AA151" s="306" t="s">
        <v>282</v>
      </c>
      <c r="AB151" s="306"/>
      <c r="AC151" s="306"/>
      <c r="AD151" s="306"/>
      <c r="AE151" s="306"/>
      <c r="AF151" s="307" t="s">
        <v>282</v>
      </c>
      <c r="AG151" s="307"/>
      <c r="AH151" s="307"/>
      <c r="AI151" s="307"/>
      <c r="AJ151" s="307"/>
      <c r="AK151" s="307" t="s">
        <v>282</v>
      </c>
      <c r="AL151" s="307"/>
      <c r="AM151" s="307"/>
      <c r="AN151" s="307"/>
      <c r="AO151" s="307"/>
      <c r="AP151" s="308" t="s">
        <v>282</v>
      </c>
      <c r="AQ151" s="308"/>
      <c r="AR151" s="308"/>
      <c r="AS151" s="308"/>
      <c r="AT151" s="308"/>
    </row>
    <row r="152" spans="2:46" ht="45" customHeight="1" x14ac:dyDescent="0.3">
      <c r="B152" s="301" t="s">
        <v>283</v>
      </c>
      <c r="C152" s="301"/>
      <c r="D152" s="301"/>
      <c r="E152" s="301"/>
      <c r="F152" s="301"/>
      <c r="G152" s="302"/>
      <c r="H152" s="302"/>
      <c r="I152" s="302"/>
      <c r="J152" s="302"/>
      <c r="K152" s="302"/>
      <c r="L152" s="302" t="s">
        <v>283</v>
      </c>
      <c r="M152" s="302"/>
      <c r="N152" s="302"/>
      <c r="O152" s="302"/>
      <c r="P152" s="302"/>
      <c r="Q152" s="302" t="s">
        <v>283</v>
      </c>
      <c r="R152" s="302"/>
      <c r="S152" s="302"/>
      <c r="T152" s="302"/>
      <c r="U152" s="302"/>
      <c r="V152" s="302" t="s">
        <v>283</v>
      </c>
      <c r="W152" s="302"/>
      <c r="X152" s="302"/>
      <c r="Y152" s="302"/>
      <c r="Z152" s="302"/>
      <c r="AA152" s="302" t="s">
        <v>283</v>
      </c>
      <c r="AB152" s="302"/>
      <c r="AC152" s="302"/>
      <c r="AD152" s="302"/>
      <c r="AE152" s="302"/>
      <c r="AF152" s="303" t="s">
        <v>283</v>
      </c>
      <c r="AG152" s="303"/>
      <c r="AH152" s="303"/>
      <c r="AI152" s="303"/>
      <c r="AJ152" s="303"/>
      <c r="AK152" s="303" t="s">
        <v>283</v>
      </c>
      <c r="AL152" s="303"/>
      <c r="AM152" s="303"/>
      <c r="AN152" s="303"/>
      <c r="AO152" s="303"/>
      <c r="AP152" s="304" t="s">
        <v>283</v>
      </c>
      <c r="AQ152" s="304"/>
      <c r="AR152" s="304"/>
      <c r="AS152" s="304"/>
      <c r="AT152" s="304"/>
    </row>
    <row r="153" spans="2:46" ht="45" customHeight="1" x14ac:dyDescent="0.3">
      <c r="B153" s="301" t="s">
        <v>284</v>
      </c>
      <c r="C153" s="301"/>
      <c r="D153" s="301"/>
      <c r="E153" s="301"/>
      <c r="F153" s="301"/>
      <c r="G153" s="302"/>
      <c r="H153" s="302"/>
      <c r="I153" s="302"/>
      <c r="J153" s="302"/>
      <c r="K153" s="302"/>
      <c r="L153" s="302" t="s">
        <v>284</v>
      </c>
      <c r="M153" s="302"/>
      <c r="N153" s="302"/>
      <c r="O153" s="302"/>
      <c r="P153" s="302"/>
      <c r="Q153" s="302" t="s">
        <v>284</v>
      </c>
      <c r="R153" s="302"/>
      <c r="S153" s="302"/>
      <c r="T153" s="302"/>
      <c r="U153" s="302"/>
      <c r="V153" s="302" t="s">
        <v>284</v>
      </c>
      <c r="W153" s="302"/>
      <c r="X153" s="302"/>
      <c r="Y153" s="302"/>
      <c r="Z153" s="302"/>
      <c r="AA153" s="302" t="s">
        <v>284</v>
      </c>
      <c r="AB153" s="302"/>
      <c r="AC153" s="302"/>
      <c r="AD153" s="302"/>
      <c r="AE153" s="302"/>
      <c r="AF153" s="303" t="s">
        <v>284</v>
      </c>
      <c r="AG153" s="303"/>
      <c r="AH153" s="303"/>
      <c r="AI153" s="303"/>
      <c r="AJ153" s="303"/>
      <c r="AK153" s="303" t="s">
        <v>284</v>
      </c>
      <c r="AL153" s="303"/>
      <c r="AM153" s="303"/>
      <c r="AN153" s="303"/>
      <c r="AO153" s="303"/>
      <c r="AP153" s="304" t="s">
        <v>284</v>
      </c>
      <c r="AQ153" s="304"/>
      <c r="AR153" s="304"/>
      <c r="AS153" s="304"/>
      <c r="AT153" s="304"/>
    </row>
    <row r="154" spans="2:46" ht="45" customHeight="1" x14ac:dyDescent="0.3">
      <c r="B154" s="301" t="s">
        <v>285</v>
      </c>
      <c r="C154" s="301"/>
      <c r="D154" s="301"/>
      <c r="E154" s="301"/>
      <c r="F154" s="301"/>
      <c r="G154" s="272" t="s">
        <v>285</v>
      </c>
      <c r="H154" s="272"/>
      <c r="I154" s="272"/>
      <c r="J154" s="272"/>
      <c r="K154" s="272"/>
      <c r="L154" s="272" t="s">
        <v>285</v>
      </c>
      <c r="M154" s="272"/>
      <c r="N154" s="272"/>
      <c r="O154" s="272"/>
      <c r="P154" s="272"/>
      <c r="Q154" s="272" t="s">
        <v>285</v>
      </c>
      <c r="R154" s="272"/>
      <c r="S154" s="272"/>
      <c r="T154" s="272"/>
      <c r="U154" s="272"/>
      <c r="V154" s="272" t="s">
        <v>285</v>
      </c>
      <c r="W154" s="272"/>
      <c r="X154" s="272"/>
      <c r="Y154" s="272"/>
      <c r="Z154" s="272"/>
      <c r="AA154" s="272" t="s">
        <v>285</v>
      </c>
      <c r="AB154" s="272"/>
      <c r="AC154" s="272"/>
      <c r="AD154" s="272"/>
      <c r="AE154" s="272"/>
      <c r="AF154" s="272" t="s">
        <v>285</v>
      </c>
      <c r="AG154" s="272"/>
      <c r="AH154" s="272"/>
      <c r="AI154" s="272"/>
      <c r="AJ154" s="272"/>
      <c r="AK154" s="272" t="s">
        <v>285</v>
      </c>
      <c r="AL154" s="272"/>
      <c r="AM154" s="272"/>
      <c r="AN154" s="272"/>
      <c r="AO154" s="272"/>
      <c r="AP154" s="313" t="s">
        <v>285</v>
      </c>
      <c r="AQ154" s="313"/>
      <c r="AR154" s="313"/>
      <c r="AS154" s="313"/>
      <c r="AT154" s="313"/>
    </row>
    <row r="155" spans="2:46" ht="45" customHeight="1" x14ac:dyDescent="0.3">
      <c r="B155" s="301"/>
      <c r="C155" s="301"/>
      <c r="D155" s="301"/>
      <c r="E155" s="301"/>
      <c r="F155" s="301"/>
      <c r="G155" s="302"/>
      <c r="H155" s="302"/>
      <c r="I155" s="302"/>
      <c r="J155" s="302"/>
      <c r="K155" s="302"/>
      <c r="L155" s="302"/>
      <c r="M155" s="302"/>
      <c r="N155" s="302"/>
      <c r="O155" s="302"/>
      <c r="P155" s="302"/>
      <c r="Q155" s="302"/>
      <c r="R155" s="302"/>
      <c r="S155" s="302"/>
      <c r="T155" s="302"/>
      <c r="U155" s="302"/>
      <c r="V155" s="302"/>
      <c r="W155" s="302"/>
      <c r="X155" s="302"/>
      <c r="Y155" s="302"/>
      <c r="Z155" s="302"/>
      <c r="AA155" s="302"/>
      <c r="AB155" s="302"/>
      <c r="AC155" s="302"/>
      <c r="AD155" s="302"/>
      <c r="AE155" s="302"/>
      <c r="AF155" s="303"/>
      <c r="AG155" s="303"/>
      <c r="AH155" s="303"/>
      <c r="AI155" s="303"/>
      <c r="AJ155" s="303"/>
      <c r="AK155" s="303"/>
      <c r="AL155" s="303"/>
      <c r="AM155" s="303"/>
      <c r="AN155" s="303"/>
      <c r="AO155" s="303"/>
      <c r="AP155" s="304"/>
      <c r="AQ155" s="304"/>
      <c r="AR155" s="304"/>
      <c r="AS155" s="304"/>
      <c r="AT155" s="304"/>
    </row>
    <row r="156" spans="2:46" ht="45" customHeight="1" x14ac:dyDescent="0.3">
      <c r="B156" s="309" t="s">
        <v>286</v>
      </c>
      <c r="C156" s="309"/>
      <c r="D156" s="309"/>
      <c r="E156" s="309"/>
      <c r="F156" s="309"/>
      <c r="G156" s="310" t="s">
        <v>286</v>
      </c>
      <c r="H156" s="310"/>
      <c r="I156" s="310"/>
      <c r="J156" s="310"/>
      <c r="K156" s="310"/>
      <c r="L156" s="310" t="s">
        <v>286</v>
      </c>
      <c r="M156" s="310"/>
      <c r="N156" s="310"/>
      <c r="O156" s="310"/>
      <c r="P156" s="310"/>
      <c r="Q156" s="310" t="s">
        <v>286</v>
      </c>
      <c r="R156" s="310"/>
      <c r="S156" s="310"/>
      <c r="T156" s="310"/>
      <c r="U156" s="310"/>
      <c r="V156" s="310" t="s">
        <v>286</v>
      </c>
      <c r="W156" s="310"/>
      <c r="X156" s="310"/>
      <c r="Y156" s="310"/>
      <c r="Z156" s="310"/>
      <c r="AA156" s="310" t="s">
        <v>286</v>
      </c>
      <c r="AB156" s="310"/>
      <c r="AC156" s="310"/>
      <c r="AD156" s="310"/>
      <c r="AE156" s="310"/>
      <c r="AF156" s="311" t="s">
        <v>286</v>
      </c>
      <c r="AG156" s="311"/>
      <c r="AH156" s="311"/>
      <c r="AI156" s="311"/>
      <c r="AJ156" s="311"/>
      <c r="AK156" s="311" t="s">
        <v>286</v>
      </c>
      <c r="AL156" s="311"/>
      <c r="AM156" s="311"/>
      <c r="AN156" s="311"/>
      <c r="AO156" s="311"/>
      <c r="AP156" s="312" t="s">
        <v>286</v>
      </c>
      <c r="AQ156" s="312"/>
      <c r="AR156" s="312"/>
      <c r="AS156" s="312"/>
      <c r="AT156" s="312"/>
    </row>
    <row r="157" spans="2:46" ht="45" customHeight="1" x14ac:dyDescent="0.3">
      <c r="B157" s="301" t="s">
        <v>287</v>
      </c>
      <c r="C157" s="301"/>
      <c r="D157" s="301"/>
      <c r="E157" s="301"/>
      <c r="F157" s="301"/>
      <c r="G157" s="302" t="s">
        <v>287</v>
      </c>
      <c r="H157" s="302"/>
      <c r="I157" s="302"/>
      <c r="J157" s="302"/>
      <c r="K157" s="302"/>
      <c r="L157" s="302"/>
      <c r="M157" s="302"/>
      <c r="N157" s="302"/>
      <c r="O157" s="302"/>
      <c r="P157" s="302"/>
      <c r="Q157" s="302"/>
      <c r="R157" s="302"/>
      <c r="S157" s="302"/>
      <c r="T157" s="302"/>
      <c r="U157" s="302"/>
      <c r="V157" s="302"/>
      <c r="W157" s="302"/>
      <c r="X157" s="302"/>
      <c r="Y157" s="302"/>
      <c r="Z157" s="302"/>
      <c r="AA157" s="302"/>
      <c r="AB157" s="302"/>
      <c r="AC157" s="302"/>
      <c r="AD157" s="302"/>
      <c r="AE157" s="302"/>
      <c r="AF157" s="303"/>
      <c r="AG157" s="303"/>
      <c r="AH157" s="303"/>
      <c r="AI157" s="303"/>
      <c r="AJ157" s="303"/>
      <c r="AK157" s="303"/>
      <c r="AL157" s="303"/>
      <c r="AM157" s="303"/>
      <c r="AN157" s="303"/>
      <c r="AO157" s="303"/>
      <c r="AP157" s="304"/>
      <c r="AQ157" s="304"/>
      <c r="AR157" s="304"/>
      <c r="AS157" s="304"/>
      <c r="AT157" s="304"/>
    </row>
    <row r="158" spans="2:46" ht="45" customHeight="1" x14ac:dyDescent="0.3">
      <c r="B158" s="301" t="s">
        <v>288</v>
      </c>
      <c r="C158" s="301"/>
      <c r="D158" s="301"/>
      <c r="E158" s="301"/>
      <c r="F158" s="301"/>
      <c r="G158" s="302" t="s">
        <v>288</v>
      </c>
      <c r="H158" s="302"/>
      <c r="I158" s="302"/>
      <c r="J158" s="302"/>
      <c r="K158" s="302"/>
      <c r="L158" s="302"/>
      <c r="M158" s="302"/>
      <c r="N158" s="302"/>
      <c r="O158" s="302"/>
      <c r="P158" s="302"/>
      <c r="Q158" s="302"/>
      <c r="R158" s="302"/>
      <c r="S158" s="302"/>
      <c r="T158" s="302"/>
      <c r="U158" s="302"/>
      <c r="V158" s="302"/>
      <c r="W158" s="302"/>
      <c r="X158" s="302"/>
      <c r="Y158" s="302"/>
      <c r="Z158" s="302"/>
      <c r="AA158" s="302"/>
      <c r="AB158" s="302"/>
      <c r="AC158" s="302"/>
      <c r="AD158" s="302"/>
      <c r="AE158" s="302"/>
      <c r="AF158" s="303"/>
      <c r="AG158" s="303"/>
      <c r="AH158" s="303"/>
      <c r="AI158" s="303"/>
      <c r="AJ158" s="303"/>
      <c r="AK158" s="303"/>
      <c r="AL158" s="303"/>
      <c r="AM158" s="303"/>
      <c r="AN158" s="303"/>
      <c r="AO158" s="303"/>
      <c r="AP158" s="304"/>
      <c r="AQ158" s="304"/>
      <c r="AR158" s="304"/>
      <c r="AS158" s="304"/>
      <c r="AT158" s="304"/>
    </row>
    <row r="159" spans="2:46" ht="45" customHeight="1" x14ac:dyDescent="0.3">
      <c r="B159" s="301" t="s">
        <v>289</v>
      </c>
      <c r="C159" s="301"/>
      <c r="D159" s="301"/>
      <c r="E159" s="301"/>
      <c r="F159" s="301"/>
      <c r="G159" s="302" t="s">
        <v>289</v>
      </c>
      <c r="H159" s="302"/>
      <c r="I159" s="302"/>
      <c r="J159" s="302"/>
      <c r="K159" s="302"/>
      <c r="L159" s="302"/>
      <c r="M159" s="302"/>
      <c r="N159" s="302"/>
      <c r="O159" s="302"/>
      <c r="P159" s="302"/>
      <c r="Q159" s="302"/>
      <c r="R159" s="302"/>
      <c r="S159" s="302"/>
      <c r="T159" s="302"/>
      <c r="U159" s="302"/>
      <c r="V159" s="302"/>
      <c r="W159" s="302"/>
      <c r="X159" s="302"/>
      <c r="Y159" s="302"/>
      <c r="Z159" s="302"/>
      <c r="AA159" s="302"/>
      <c r="AB159" s="302"/>
      <c r="AC159" s="302"/>
      <c r="AD159" s="302"/>
      <c r="AE159" s="302"/>
      <c r="AF159" s="303"/>
      <c r="AG159" s="303"/>
      <c r="AH159" s="303"/>
      <c r="AI159" s="303"/>
      <c r="AJ159" s="303"/>
      <c r="AK159" s="303"/>
      <c r="AL159" s="303"/>
      <c r="AM159" s="303"/>
      <c r="AN159" s="303"/>
      <c r="AO159" s="303"/>
      <c r="AP159" s="304"/>
      <c r="AQ159" s="304"/>
      <c r="AR159" s="304"/>
      <c r="AS159" s="304"/>
      <c r="AT159" s="304"/>
    </row>
    <row r="160" spans="2:46" ht="45" customHeight="1" x14ac:dyDescent="0.3">
      <c r="B160" s="301"/>
      <c r="C160" s="301"/>
      <c r="D160" s="301"/>
      <c r="E160" s="301"/>
      <c r="F160" s="301"/>
      <c r="G160" s="302"/>
      <c r="H160" s="302"/>
      <c r="I160" s="302"/>
      <c r="J160" s="302"/>
      <c r="K160" s="302"/>
      <c r="L160" s="302"/>
      <c r="M160" s="302"/>
      <c r="N160" s="302"/>
      <c r="O160" s="302"/>
      <c r="P160" s="302"/>
      <c r="Q160" s="302"/>
      <c r="R160" s="302"/>
      <c r="S160" s="302"/>
      <c r="T160" s="302"/>
      <c r="U160" s="302"/>
      <c r="V160" s="302"/>
      <c r="W160" s="302"/>
      <c r="X160" s="302"/>
      <c r="Y160" s="302"/>
      <c r="Z160" s="302"/>
      <c r="AA160" s="302"/>
      <c r="AB160" s="302"/>
      <c r="AC160" s="302"/>
      <c r="AD160" s="302"/>
      <c r="AE160" s="302"/>
      <c r="AF160" s="303"/>
      <c r="AG160" s="303"/>
      <c r="AH160" s="303"/>
      <c r="AI160" s="303"/>
      <c r="AJ160" s="303"/>
      <c r="AK160" s="303"/>
      <c r="AL160" s="303"/>
      <c r="AM160" s="303"/>
      <c r="AN160" s="303"/>
      <c r="AO160" s="303"/>
      <c r="AP160" s="304"/>
      <c r="AQ160" s="304"/>
      <c r="AR160" s="304"/>
      <c r="AS160" s="304"/>
      <c r="AT160" s="304"/>
    </row>
    <row r="161" spans="2:46" ht="45" customHeight="1" x14ac:dyDescent="0.3">
      <c r="B161" s="305" t="s">
        <v>290</v>
      </c>
      <c r="C161" s="305"/>
      <c r="D161" s="305"/>
      <c r="E161" s="305"/>
      <c r="F161" s="305"/>
      <c r="G161" s="306" t="s">
        <v>290</v>
      </c>
      <c r="H161" s="306"/>
      <c r="I161" s="306"/>
      <c r="J161" s="306"/>
      <c r="K161" s="306"/>
      <c r="L161" s="306" t="s">
        <v>290</v>
      </c>
      <c r="M161" s="306"/>
      <c r="N161" s="306"/>
      <c r="O161" s="306"/>
      <c r="P161" s="306"/>
      <c r="Q161" s="306" t="s">
        <v>290</v>
      </c>
      <c r="R161" s="306"/>
      <c r="S161" s="306"/>
      <c r="T161" s="306"/>
      <c r="U161" s="306"/>
      <c r="V161" s="306" t="s">
        <v>290</v>
      </c>
      <c r="W161" s="306"/>
      <c r="X161" s="306"/>
      <c r="Y161" s="306"/>
      <c r="Z161" s="306"/>
      <c r="AA161" s="306" t="s">
        <v>290</v>
      </c>
      <c r="AB161" s="306"/>
      <c r="AC161" s="306"/>
      <c r="AD161" s="306"/>
      <c r="AE161" s="306"/>
      <c r="AF161" s="307" t="s">
        <v>290</v>
      </c>
      <c r="AG161" s="307"/>
      <c r="AH161" s="307"/>
      <c r="AI161" s="307"/>
      <c r="AJ161" s="307"/>
      <c r="AK161" s="307" t="s">
        <v>290</v>
      </c>
      <c r="AL161" s="307"/>
      <c r="AM161" s="307"/>
      <c r="AN161" s="307"/>
      <c r="AO161" s="307"/>
      <c r="AP161" s="308" t="s">
        <v>290</v>
      </c>
      <c r="AQ161" s="308"/>
      <c r="AR161" s="308"/>
      <c r="AS161" s="308"/>
      <c r="AT161" s="308"/>
    </row>
    <row r="162" spans="2:46" ht="45" customHeight="1" x14ac:dyDescent="0.3">
      <c r="B162" s="301" t="s">
        <v>291</v>
      </c>
      <c r="C162" s="301"/>
      <c r="D162" s="301"/>
      <c r="E162" s="301"/>
      <c r="F162" s="301"/>
      <c r="G162" s="302" t="s">
        <v>291</v>
      </c>
      <c r="H162" s="302"/>
      <c r="I162" s="302"/>
      <c r="J162" s="302"/>
      <c r="K162" s="302"/>
      <c r="L162" s="302" t="s">
        <v>291</v>
      </c>
      <c r="M162" s="302"/>
      <c r="N162" s="302"/>
      <c r="O162" s="302"/>
      <c r="P162" s="302"/>
      <c r="Q162" s="302" t="s">
        <v>291</v>
      </c>
      <c r="R162" s="302"/>
      <c r="S162" s="302"/>
      <c r="T162" s="302"/>
      <c r="U162" s="302"/>
      <c r="V162" s="302" t="s">
        <v>291</v>
      </c>
      <c r="W162" s="302"/>
      <c r="X162" s="302"/>
      <c r="Y162" s="302"/>
      <c r="Z162" s="302"/>
      <c r="AA162" s="302" t="s">
        <v>291</v>
      </c>
      <c r="AB162" s="302"/>
      <c r="AC162" s="302"/>
      <c r="AD162" s="302"/>
      <c r="AE162" s="302"/>
      <c r="AF162" s="302" t="s">
        <v>291</v>
      </c>
      <c r="AG162" s="302"/>
      <c r="AH162" s="302"/>
      <c r="AI162" s="302"/>
      <c r="AJ162" s="302"/>
      <c r="AK162" s="302" t="s">
        <v>291</v>
      </c>
      <c r="AL162" s="302"/>
      <c r="AM162" s="302"/>
      <c r="AN162" s="302"/>
      <c r="AO162" s="302"/>
      <c r="AP162" s="304" t="s">
        <v>291</v>
      </c>
      <c r="AQ162" s="304"/>
      <c r="AR162" s="304"/>
      <c r="AS162" s="304"/>
      <c r="AT162" s="304"/>
    </row>
    <row r="163" spans="2:46" ht="45" customHeight="1" x14ac:dyDescent="0.3">
      <c r="B163" s="301" t="s">
        <v>292</v>
      </c>
      <c r="C163" s="301"/>
      <c r="D163" s="301"/>
      <c r="E163" s="301"/>
      <c r="F163" s="301"/>
      <c r="G163" s="302" t="s">
        <v>292</v>
      </c>
      <c r="H163" s="302"/>
      <c r="I163" s="302"/>
      <c r="J163" s="302"/>
      <c r="K163" s="302"/>
      <c r="L163" s="302" t="s">
        <v>292</v>
      </c>
      <c r="M163" s="302"/>
      <c r="N163" s="302"/>
      <c r="O163" s="302"/>
      <c r="P163" s="302"/>
      <c r="Q163" s="302" t="s">
        <v>292</v>
      </c>
      <c r="R163" s="302"/>
      <c r="S163" s="302"/>
      <c r="T163" s="302"/>
      <c r="U163" s="302"/>
      <c r="V163" s="302" t="s">
        <v>292</v>
      </c>
      <c r="W163" s="302"/>
      <c r="X163" s="302"/>
      <c r="Y163" s="302"/>
      <c r="Z163" s="302"/>
      <c r="AA163" s="302" t="s">
        <v>292</v>
      </c>
      <c r="AB163" s="302"/>
      <c r="AC163" s="302"/>
      <c r="AD163" s="302"/>
      <c r="AE163" s="302"/>
      <c r="AF163" s="302" t="s">
        <v>292</v>
      </c>
      <c r="AG163" s="302"/>
      <c r="AH163" s="302"/>
      <c r="AI163" s="302"/>
      <c r="AJ163" s="302"/>
      <c r="AK163" s="302" t="s">
        <v>292</v>
      </c>
      <c r="AL163" s="302"/>
      <c r="AM163" s="302"/>
      <c r="AN163" s="302"/>
      <c r="AO163" s="302"/>
      <c r="AP163" s="304" t="s">
        <v>292</v>
      </c>
      <c r="AQ163" s="304"/>
      <c r="AR163" s="304"/>
      <c r="AS163" s="304"/>
      <c r="AT163" s="304"/>
    </row>
    <row r="164" spans="2:46" ht="45" customHeight="1" x14ac:dyDescent="0.3">
      <c r="B164" s="301" t="s">
        <v>293</v>
      </c>
      <c r="C164" s="301"/>
      <c r="D164" s="301"/>
      <c r="E164" s="301"/>
      <c r="F164" s="301"/>
      <c r="G164" s="302" t="s">
        <v>293</v>
      </c>
      <c r="H164" s="302"/>
      <c r="I164" s="302"/>
      <c r="J164" s="302"/>
      <c r="K164" s="302"/>
      <c r="L164" s="302" t="s">
        <v>293</v>
      </c>
      <c r="M164" s="302"/>
      <c r="N164" s="302"/>
      <c r="O164" s="302"/>
      <c r="P164" s="302"/>
      <c r="Q164" s="302" t="s">
        <v>293</v>
      </c>
      <c r="R164" s="302"/>
      <c r="S164" s="302"/>
      <c r="T164" s="302"/>
      <c r="U164" s="302"/>
      <c r="V164" s="302" t="s">
        <v>293</v>
      </c>
      <c r="W164" s="302"/>
      <c r="X164" s="302"/>
      <c r="Y164" s="302"/>
      <c r="Z164" s="302"/>
      <c r="AA164" s="302" t="s">
        <v>293</v>
      </c>
      <c r="AB164" s="302"/>
      <c r="AC164" s="302"/>
      <c r="AD164" s="302"/>
      <c r="AE164" s="302"/>
      <c r="AF164" s="303" t="s">
        <v>293</v>
      </c>
      <c r="AG164" s="303"/>
      <c r="AH164" s="303"/>
      <c r="AI164" s="303"/>
      <c r="AJ164" s="303"/>
      <c r="AK164" s="303" t="s">
        <v>293</v>
      </c>
      <c r="AL164" s="303"/>
      <c r="AM164" s="303"/>
      <c r="AN164" s="303"/>
      <c r="AO164" s="303"/>
      <c r="AP164" s="304" t="s">
        <v>293</v>
      </c>
      <c r="AQ164" s="304"/>
      <c r="AR164" s="304"/>
      <c r="AS164" s="304"/>
      <c r="AT164" s="304"/>
    </row>
    <row r="165" spans="2:46" ht="45" customHeight="1" x14ac:dyDescent="0.3">
      <c r="B165" s="301"/>
      <c r="C165" s="301"/>
      <c r="D165" s="301"/>
      <c r="E165" s="301"/>
      <c r="F165" s="301"/>
      <c r="G165" s="302"/>
      <c r="H165" s="302"/>
      <c r="I165" s="302"/>
      <c r="J165" s="302"/>
      <c r="K165" s="302"/>
      <c r="L165" s="302"/>
      <c r="M165" s="302"/>
      <c r="N165" s="302"/>
      <c r="O165" s="302"/>
      <c r="P165" s="302"/>
      <c r="Q165" s="302"/>
      <c r="R165" s="302"/>
      <c r="S165" s="302"/>
      <c r="T165" s="302"/>
      <c r="U165" s="302"/>
      <c r="V165" s="302"/>
      <c r="W165" s="302"/>
      <c r="X165" s="302"/>
      <c r="Y165" s="302"/>
      <c r="Z165" s="302"/>
      <c r="AA165" s="302"/>
      <c r="AB165" s="302"/>
      <c r="AC165" s="302"/>
      <c r="AD165" s="302"/>
      <c r="AE165" s="302"/>
      <c r="AF165" s="303"/>
      <c r="AG165" s="303"/>
      <c r="AH165" s="303"/>
      <c r="AI165" s="303"/>
      <c r="AJ165" s="303"/>
      <c r="AK165" s="303"/>
      <c r="AL165" s="303"/>
      <c r="AM165" s="303"/>
      <c r="AN165" s="303"/>
      <c r="AO165" s="303"/>
      <c r="AP165" s="304"/>
      <c r="AQ165" s="304"/>
      <c r="AR165" s="304"/>
      <c r="AS165" s="304"/>
      <c r="AT165" s="304"/>
    </row>
    <row r="166" spans="2:46" ht="30" customHeight="1" x14ac:dyDescent="0.3"/>
    <row r="167" spans="2:46" ht="30" customHeight="1" x14ac:dyDescent="0.3"/>
    <row r="168" spans="2:46" ht="30" customHeight="1" x14ac:dyDescent="0.3"/>
    <row r="169" spans="2:46" ht="30" customHeight="1" x14ac:dyDescent="0.3"/>
    <row r="170" spans="2:46" ht="30" customHeight="1" x14ac:dyDescent="0.3"/>
    <row r="171" spans="2:46" ht="30" customHeight="1" x14ac:dyDescent="0.3"/>
    <row r="172" spans="2:46" ht="30" customHeight="1" x14ac:dyDescent="0.3"/>
    <row r="173" spans="2:46" ht="30" customHeight="1" x14ac:dyDescent="0.3"/>
    <row r="174" spans="2:46" ht="30" customHeight="1" x14ac:dyDescent="0.3"/>
    <row r="175" spans="2:46" ht="30" customHeight="1" x14ac:dyDescent="0.3"/>
    <row r="176" spans="2:4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row r="348" ht="30" customHeight="1" x14ac:dyDescent="0.3"/>
    <row r="349" ht="30" customHeight="1" x14ac:dyDescent="0.3"/>
    <row r="350" ht="30" customHeight="1" x14ac:dyDescent="0.3"/>
    <row r="351" ht="30" customHeight="1" x14ac:dyDescent="0.3"/>
    <row r="352" ht="30" customHeight="1" x14ac:dyDescent="0.3"/>
    <row r="353" ht="30" customHeight="1" x14ac:dyDescent="0.3"/>
    <row r="354" ht="30" customHeight="1" x14ac:dyDescent="0.3"/>
    <row r="355" ht="30" customHeight="1" x14ac:dyDescent="0.3"/>
    <row r="356" ht="30" customHeight="1" x14ac:dyDescent="0.3"/>
    <row r="357" ht="30" customHeight="1" x14ac:dyDescent="0.3"/>
    <row r="358" ht="30" customHeight="1" x14ac:dyDescent="0.3"/>
    <row r="359" ht="30" customHeight="1" x14ac:dyDescent="0.3"/>
    <row r="360" ht="30" customHeight="1" x14ac:dyDescent="0.3"/>
    <row r="361" ht="30" customHeight="1" x14ac:dyDescent="0.3"/>
    <row r="362" ht="30" customHeight="1" x14ac:dyDescent="0.3"/>
    <row r="363" ht="30" customHeight="1" x14ac:dyDescent="0.3"/>
    <row r="364" ht="30" customHeight="1" x14ac:dyDescent="0.3"/>
    <row r="365" ht="30" customHeight="1" x14ac:dyDescent="0.3"/>
    <row r="366" ht="30" customHeight="1" x14ac:dyDescent="0.3"/>
    <row r="367" ht="30" customHeight="1" x14ac:dyDescent="0.3"/>
    <row r="368" ht="30" customHeight="1" x14ac:dyDescent="0.3"/>
    <row r="369" ht="30" customHeight="1" x14ac:dyDescent="0.3"/>
    <row r="370" ht="30" customHeight="1" x14ac:dyDescent="0.3"/>
    <row r="371" ht="30" customHeight="1" x14ac:dyDescent="0.3"/>
    <row r="372" ht="30" customHeight="1" x14ac:dyDescent="0.3"/>
    <row r="373" ht="30" customHeight="1" x14ac:dyDescent="0.3"/>
    <row r="374" ht="30" customHeight="1" x14ac:dyDescent="0.3"/>
    <row r="375" ht="30" customHeight="1" x14ac:dyDescent="0.3"/>
    <row r="376" ht="30" customHeight="1" x14ac:dyDescent="0.3"/>
    <row r="377" ht="30" customHeight="1" x14ac:dyDescent="0.3"/>
    <row r="378" ht="30" customHeight="1" x14ac:dyDescent="0.3"/>
    <row r="379" ht="30" customHeight="1" x14ac:dyDescent="0.3"/>
    <row r="380" ht="30" customHeight="1" x14ac:dyDescent="0.3"/>
    <row r="381" ht="30" customHeight="1" x14ac:dyDescent="0.3"/>
    <row r="382" ht="30" customHeight="1" x14ac:dyDescent="0.3"/>
    <row r="383" ht="30" customHeight="1" x14ac:dyDescent="0.3"/>
    <row r="384" ht="30" customHeight="1" x14ac:dyDescent="0.3"/>
    <row r="385" ht="30" customHeight="1" x14ac:dyDescent="0.3"/>
    <row r="386" ht="30" customHeight="1" x14ac:dyDescent="0.3"/>
    <row r="387" ht="30" customHeight="1" x14ac:dyDescent="0.3"/>
    <row r="388" ht="30" customHeight="1" x14ac:dyDescent="0.3"/>
    <row r="389" ht="30" customHeight="1" x14ac:dyDescent="0.3"/>
    <row r="390" ht="30" customHeight="1" x14ac:dyDescent="0.3"/>
    <row r="391" ht="30" customHeight="1" x14ac:dyDescent="0.3"/>
    <row r="392" ht="30" customHeight="1" x14ac:dyDescent="0.3"/>
    <row r="393" ht="30" customHeight="1" x14ac:dyDescent="0.3"/>
    <row r="394" ht="30" customHeight="1" x14ac:dyDescent="0.3"/>
    <row r="395" ht="30" customHeight="1" x14ac:dyDescent="0.3"/>
    <row r="396" ht="30" customHeight="1" x14ac:dyDescent="0.3"/>
    <row r="397" ht="30" customHeight="1" x14ac:dyDescent="0.3"/>
    <row r="398" ht="30" customHeight="1" x14ac:dyDescent="0.3"/>
    <row r="399" ht="30" customHeight="1" x14ac:dyDescent="0.3"/>
    <row r="400" ht="30" customHeight="1" x14ac:dyDescent="0.3"/>
    <row r="401" ht="30" customHeight="1" x14ac:dyDescent="0.3"/>
    <row r="402" ht="30" customHeight="1" x14ac:dyDescent="0.3"/>
    <row r="403" ht="30" customHeight="1" x14ac:dyDescent="0.3"/>
    <row r="404" ht="30" customHeight="1" x14ac:dyDescent="0.3"/>
    <row r="405" ht="30" customHeight="1" x14ac:dyDescent="0.3"/>
    <row r="406" ht="30" customHeight="1" x14ac:dyDescent="0.3"/>
    <row r="407" ht="30" customHeight="1" x14ac:dyDescent="0.3"/>
    <row r="408" ht="30" customHeight="1" x14ac:dyDescent="0.3"/>
    <row r="409" ht="30" customHeight="1" x14ac:dyDescent="0.3"/>
    <row r="410" ht="30" customHeight="1" x14ac:dyDescent="0.3"/>
    <row r="411" ht="30" customHeight="1" x14ac:dyDescent="0.3"/>
    <row r="412" ht="30" customHeight="1" x14ac:dyDescent="0.3"/>
    <row r="413" ht="30" customHeight="1" x14ac:dyDescent="0.3"/>
    <row r="414" ht="30" customHeight="1" x14ac:dyDescent="0.3"/>
    <row r="415" ht="30" customHeight="1" x14ac:dyDescent="0.3"/>
    <row r="416" ht="30" customHeight="1" x14ac:dyDescent="0.3"/>
    <row r="417" ht="30" customHeight="1" x14ac:dyDescent="0.3"/>
    <row r="418" ht="30" customHeight="1" x14ac:dyDescent="0.3"/>
    <row r="419" ht="30" customHeight="1" x14ac:dyDescent="0.3"/>
    <row r="420" ht="30" customHeight="1" x14ac:dyDescent="0.3"/>
    <row r="421" ht="30" customHeight="1" x14ac:dyDescent="0.3"/>
    <row r="422" ht="30" customHeight="1" x14ac:dyDescent="0.3"/>
    <row r="423" ht="30" customHeight="1" x14ac:dyDescent="0.3"/>
    <row r="424" ht="30" customHeight="1" x14ac:dyDescent="0.3"/>
    <row r="425" ht="30" customHeight="1" x14ac:dyDescent="0.3"/>
    <row r="426" ht="30" customHeight="1" x14ac:dyDescent="0.3"/>
    <row r="427" ht="30" customHeight="1" x14ac:dyDescent="0.3"/>
    <row r="428" ht="30" customHeight="1" x14ac:dyDescent="0.3"/>
    <row r="429" ht="30" customHeight="1" x14ac:dyDescent="0.3"/>
    <row r="430" ht="30" customHeight="1" x14ac:dyDescent="0.3"/>
    <row r="431" ht="30" customHeight="1" x14ac:dyDescent="0.3"/>
    <row r="432" ht="30" customHeight="1" x14ac:dyDescent="0.3"/>
    <row r="433" ht="30" customHeight="1" x14ac:dyDescent="0.3"/>
    <row r="434" ht="30" customHeight="1" x14ac:dyDescent="0.3"/>
    <row r="435" ht="30" customHeight="1" x14ac:dyDescent="0.3"/>
    <row r="436" ht="30" customHeight="1" x14ac:dyDescent="0.3"/>
    <row r="437" ht="30" customHeight="1" x14ac:dyDescent="0.3"/>
    <row r="438" ht="30" customHeight="1" x14ac:dyDescent="0.3"/>
    <row r="439" ht="30" customHeight="1" x14ac:dyDescent="0.3"/>
    <row r="440" ht="30" customHeight="1" x14ac:dyDescent="0.3"/>
    <row r="441" ht="30" customHeight="1" x14ac:dyDescent="0.3"/>
    <row r="442" ht="30" customHeight="1" x14ac:dyDescent="0.3"/>
    <row r="443" ht="30" customHeight="1" x14ac:dyDescent="0.3"/>
    <row r="444" ht="30" customHeight="1" x14ac:dyDescent="0.3"/>
    <row r="445" ht="30" customHeight="1" x14ac:dyDescent="0.3"/>
    <row r="446" ht="30" customHeight="1" x14ac:dyDescent="0.3"/>
    <row r="447" ht="30" customHeight="1" x14ac:dyDescent="0.3"/>
    <row r="448" ht="30" customHeight="1" x14ac:dyDescent="0.3"/>
    <row r="449" ht="30" customHeight="1" x14ac:dyDescent="0.3"/>
    <row r="450" ht="30" customHeight="1" x14ac:dyDescent="0.3"/>
    <row r="451" ht="30" customHeight="1" x14ac:dyDescent="0.3"/>
    <row r="452" ht="30" customHeight="1" x14ac:dyDescent="0.3"/>
    <row r="453" ht="30" customHeight="1" x14ac:dyDescent="0.3"/>
    <row r="454" ht="30" customHeight="1" x14ac:dyDescent="0.3"/>
    <row r="455" ht="30" customHeight="1" x14ac:dyDescent="0.3"/>
    <row r="456" ht="30" customHeight="1" x14ac:dyDescent="0.3"/>
    <row r="457" ht="30" customHeight="1" x14ac:dyDescent="0.3"/>
    <row r="458" ht="30" customHeight="1" x14ac:dyDescent="0.3"/>
    <row r="459" ht="30" customHeight="1" x14ac:dyDescent="0.3"/>
    <row r="460" ht="30" customHeight="1" x14ac:dyDescent="0.3"/>
    <row r="461" ht="30" customHeight="1" x14ac:dyDescent="0.3"/>
    <row r="462" ht="30" customHeight="1" x14ac:dyDescent="0.3"/>
    <row r="463" ht="30" customHeight="1" x14ac:dyDescent="0.3"/>
    <row r="464" ht="30" customHeight="1" x14ac:dyDescent="0.3"/>
    <row r="465" ht="30" customHeight="1" x14ac:dyDescent="0.3"/>
    <row r="466" ht="30" customHeight="1" x14ac:dyDescent="0.3"/>
    <row r="467" ht="30" customHeight="1" x14ac:dyDescent="0.3"/>
    <row r="468" ht="30" customHeight="1" x14ac:dyDescent="0.3"/>
    <row r="469" ht="30" customHeight="1" x14ac:dyDescent="0.3"/>
    <row r="470" ht="30" customHeight="1" x14ac:dyDescent="0.3"/>
    <row r="471" ht="30" customHeight="1" x14ac:dyDescent="0.3"/>
    <row r="472" ht="30" customHeight="1" x14ac:dyDescent="0.3"/>
    <row r="473" ht="30" customHeight="1" x14ac:dyDescent="0.3"/>
    <row r="474" ht="30" customHeight="1" x14ac:dyDescent="0.3"/>
    <row r="475" ht="30" customHeight="1" x14ac:dyDescent="0.3"/>
    <row r="476" ht="30" customHeight="1" x14ac:dyDescent="0.3"/>
    <row r="477" ht="30" customHeight="1" x14ac:dyDescent="0.3"/>
    <row r="478" ht="30" customHeight="1" x14ac:dyDescent="0.3"/>
    <row r="479" ht="30" customHeight="1" x14ac:dyDescent="0.3"/>
    <row r="480" ht="30" customHeight="1" x14ac:dyDescent="0.3"/>
    <row r="481" ht="30" customHeight="1" x14ac:dyDescent="0.3"/>
    <row r="482" ht="30" customHeight="1" x14ac:dyDescent="0.3"/>
    <row r="483" ht="30" customHeight="1" x14ac:dyDescent="0.3"/>
    <row r="484" ht="30" customHeight="1" x14ac:dyDescent="0.3"/>
    <row r="485" ht="30" customHeight="1" x14ac:dyDescent="0.3"/>
    <row r="486" ht="30" customHeight="1" x14ac:dyDescent="0.3"/>
    <row r="487" ht="30" customHeight="1" x14ac:dyDescent="0.3"/>
    <row r="488" ht="30" customHeight="1" x14ac:dyDescent="0.3"/>
    <row r="489" ht="30" customHeight="1" x14ac:dyDescent="0.3"/>
    <row r="490" ht="30" customHeight="1" x14ac:dyDescent="0.3"/>
    <row r="491" ht="30" customHeight="1" x14ac:dyDescent="0.3"/>
    <row r="492" ht="30" customHeight="1" x14ac:dyDescent="0.3"/>
    <row r="493" ht="30" customHeight="1" x14ac:dyDescent="0.3"/>
    <row r="494" ht="30" customHeight="1" x14ac:dyDescent="0.3"/>
    <row r="495" ht="30" customHeight="1" x14ac:dyDescent="0.3"/>
    <row r="496" ht="30" customHeight="1" x14ac:dyDescent="0.3"/>
    <row r="497" ht="30" customHeight="1" x14ac:dyDescent="0.3"/>
    <row r="498" ht="30" customHeight="1" x14ac:dyDescent="0.3"/>
    <row r="499" ht="30" customHeight="1" x14ac:dyDescent="0.3"/>
    <row r="500" ht="30" customHeight="1" x14ac:dyDescent="0.3"/>
    <row r="501" ht="30" customHeight="1" x14ac:dyDescent="0.3"/>
    <row r="502" ht="30" customHeight="1" x14ac:dyDescent="0.3"/>
    <row r="503" ht="30" customHeight="1" x14ac:dyDescent="0.3"/>
    <row r="504" ht="30" customHeight="1" x14ac:dyDescent="0.3"/>
    <row r="505" ht="30" customHeight="1" x14ac:dyDescent="0.3"/>
    <row r="506" ht="30" customHeight="1" x14ac:dyDescent="0.3"/>
    <row r="507" ht="30" customHeight="1" x14ac:dyDescent="0.3"/>
    <row r="508" ht="30" customHeight="1" x14ac:dyDescent="0.3"/>
    <row r="509" ht="30" customHeight="1" x14ac:dyDescent="0.3"/>
    <row r="510" ht="30" customHeight="1" x14ac:dyDescent="0.3"/>
    <row r="511" ht="30" customHeight="1" x14ac:dyDescent="0.3"/>
    <row r="512" ht="30" customHeight="1" x14ac:dyDescent="0.3"/>
    <row r="513" ht="30" customHeight="1" x14ac:dyDescent="0.3"/>
    <row r="514" ht="30" customHeight="1" x14ac:dyDescent="0.3"/>
    <row r="515" ht="30" customHeight="1" x14ac:dyDescent="0.3"/>
    <row r="516" ht="30" customHeight="1" x14ac:dyDescent="0.3"/>
    <row r="517" ht="30" customHeight="1" x14ac:dyDescent="0.3"/>
    <row r="518" ht="30" customHeight="1" x14ac:dyDescent="0.3"/>
    <row r="519" ht="30" customHeight="1" x14ac:dyDescent="0.3"/>
    <row r="520" ht="30" customHeight="1" x14ac:dyDescent="0.3"/>
    <row r="521" ht="30" customHeight="1" x14ac:dyDescent="0.3"/>
    <row r="522" ht="30" customHeight="1" x14ac:dyDescent="0.3"/>
    <row r="523" ht="30" customHeight="1" x14ac:dyDescent="0.3"/>
    <row r="524" ht="30" customHeight="1" x14ac:dyDescent="0.3"/>
    <row r="525" ht="30" customHeight="1" x14ac:dyDescent="0.3"/>
    <row r="526" ht="30" customHeight="1" x14ac:dyDescent="0.3"/>
    <row r="527" ht="30" customHeight="1" x14ac:dyDescent="0.3"/>
    <row r="528" ht="30" customHeight="1" x14ac:dyDescent="0.3"/>
    <row r="529" ht="30" customHeight="1" x14ac:dyDescent="0.3"/>
    <row r="530" ht="30" customHeight="1" x14ac:dyDescent="0.3"/>
    <row r="531" ht="30" customHeight="1" x14ac:dyDescent="0.3"/>
    <row r="532" ht="30" customHeight="1" x14ac:dyDescent="0.3"/>
    <row r="533" ht="30" customHeight="1" x14ac:dyDescent="0.3"/>
    <row r="534" ht="30" customHeight="1" x14ac:dyDescent="0.3"/>
    <row r="535" ht="30" customHeight="1" x14ac:dyDescent="0.3"/>
    <row r="536" ht="30" customHeight="1" x14ac:dyDescent="0.3"/>
    <row r="537" ht="30" customHeight="1" x14ac:dyDescent="0.3"/>
    <row r="538" ht="30" customHeight="1" x14ac:dyDescent="0.3"/>
    <row r="539" ht="30" customHeight="1" x14ac:dyDescent="0.3"/>
    <row r="540" ht="30" customHeight="1" x14ac:dyDescent="0.3"/>
    <row r="541" ht="30" customHeight="1" x14ac:dyDescent="0.3"/>
    <row r="542" ht="30" customHeight="1" x14ac:dyDescent="0.3"/>
    <row r="543" ht="30" customHeight="1" x14ac:dyDescent="0.3"/>
    <row r="544" ht="30" customHeight="1" x14ac:dyDescent="0.3"/>
    <row r="545" ht="30" customHeight="1" x14ac:dyDescent="0.3"/>
    <row r="546" ht="30" customHeight="1" x14ac:dyDescent="0.3"/>
    <row r="547" ht="30" customHeight="1" x14ac:dyDescent="0.3"/>
    <row r="548" ht="30" customHeight="1" x14ac:dyDescent="0.3"/>
    <row r="549" ht="30" customHeight="1" x14ac:dyDescent="0.3"/>
    <row r="550" ht="30" customHeight="1" x14ac:dyDescent="0.3"/>
    <row r="551" ht="30" customHeight="1" x14ac:dyDescent="0.3"/>
    <row r="552" ht="30" customHeight="1" x14ac:dyDescent="0.3"/>
    <row r="553" ht="30" customHeight="1" x14ac:dyDescent="0.3"/>
    <row r="554" ht="30" customHeight="1" x14ac:dyDescent="0.3"/>
    <row r="555" ht="30" customHeight="1" x14ac:dyDescent="0.3"/>
    <row r="556" ht="30" customHeight="1" x14ac:dyDescent="0.3"/>
    <row r="557" ht="30" customHeight="1" x14ac:dyDescent="0.3"/>
    <row r="558" ht="30" customHeight="1" x14ac:dyDescent="0.3"/>
    <row r="559" ht="30" customHeight="1" x14ac:dyDescent="0.3"/>
    <row r="560" ht="30" customHeight="1" x14ac:dyDescent="0.3"/>
    <row r="561" ht="30" customHeight="1" x14ac:dyDescent="0.3"/>
    <row r="562" ht="30" customHeight="1" x14ac:dyDescent="0.3"/>
    <row r="563" ht="30" customHeight="1" x14ac:dyDescent="0.3"/>
    <row r="564" ht="30" customHeight="1" x14ac:dyDescent="0.3"/>
    <row r="565" ht="30" customHeight="1" x14ac:dyDescent="0.3"/>
    <row r="566" ht="30" customHeight="1" x14ac:dyDescent="0.3"/>
    <row r="567" ht="30" customHeight="1" x14ac:dyDescent="0.3"/>
    <row r="568" ht="30" customHeight="1" x14ac:dyDescent="0.3"/>
    <row r="569" ht="30" customHeight="1" x14ac:dyDescent="0.3"/>
    <row r="570" ht="30" customHeight="1" x14ac:dyDescent="0.3"/>
    <row r="571" ht="30" customHeight="1" x14ac:dyDescent="0.3"/>
    <row r="572" ht="30" customHeight="1" x14ac:dyDescent="0.3"/>
    <row r="573" ht="30" customHeight="1" x14ac:dyDescent="0.3"/>
    <row r="574" ht="30" customHeight="1" x14ac:dyDescent="0.3"/>
    <row r="575" ht="30" customHeight="1" x14ac:dyDescent="0.3"/>
    <row r="576" ht="30" customHeight="1" x14ac:dyDescent="0.3"/>
    <row r="577" ht="30" customHeight="1" x14ac:dyDescent="0.3"/>
    <row r="578" ht="30" customHeight="1" x14ac:dyDescent="0.3"/>
    <row r="579" ht="30" customHeight="1" x14ac:dyDescent="0.3"/>
    <row r="580" ht="30" customHeight="1" x14ac:dyDescent="0.3"/>
    <row r="581" ht="30" customHeight="1" x14ac:dyDescent="0.3"/>
    <row r="582" ht="30" customHeight="1" x14ac:dyDescent="0.3"/>
    <row r="583" ht="30" customHeight="1" x14ac:dyDescent="0.3"/>
    <row r="584" ht="30" customHeight="1" x14ac:dyDescent="0.3"/>
    <row r="585" ht="30" customHeight="1" x14ac:dyDescent="0.3"/>
    <row r="586" ht="30" customHeight="1" x14ac:dyDescent="0.3"/>
    <row r="587" ht="30" customHeight="1" x14ac:dyDescent="0.3"/>
    <row r="588" ht="30" customHeight="1" x14ac:dyDescent="0.3"/>
    <row r="589" ht="30" customHeight="1" x14ac:dyDescent="0.3"/>
    <row r="590" ht="30" customHeight="1" x14ac:dyDescent="0.3"/>
    <row r="591" ht="30" customHeight="1" x14ac:dyDescent="0.3"/>
    <row r="592" ht="30" customHeight="1" x14ac:dyDescent="0.3"/>
    <row r="593" ht="30" customHeight="1" x14ac:dyDescent="0.3"/>
    <row r="594" ht="30" customHeight="1" x14ac:dyDescent="0.3"/>
    <row r="595" ht="30" customHeight="1" x14ac:dyDescent="0.3"/>
    <row r="596" ht="30" customHeight="1" x14ac:dyDescent="0.3"/>
    <row r="597" ht="30" customHeight="1" x14ac:dyDescent="0.3"/>
    <row r="598" ht="30" customHeight="1" x14ac:dyDescent="0.3"/>
    <row r="599" ht="30" customHeight="1" x14ac:dyDescent="0.3"/>
    <row r="600" ht="30" customHeight="1" x14ac:dyDescent="0.3"/>
    <row r="601" ht="30" customHeight="1" x14ac:dyDescent="0.3"/>
    <row r="602" ht="30" customHeight="1" x14ac:dyDescent="0.3"/>
    <row r="603" ht="30" customHeight="1" x14ac:dyDescent="0.3"/>
    <row r="604" ht="30" customHeight="1" x14ac:dyDescent="0.3"/>
    <row r="605" ht="30" customHeight="1" x14ac:dyDescent="0.3"/>
    <row r="606" ht="30" customHeight="1" x14ac:dyDescent="0.3"/>
    <row r="607" ht="30" customHeight="1" x14ac:dyDescent="0.3"/>
    <row r="608" ht="30" customHeight="1" x14ac:dyDescent="0.3"/>
    <row r="609" ht="30" customHeight="1" x14ac:dyDescent="0.3"/>
    <row r="610" ht="30" customHeight="1" x14ac:dyDescent="0.3"/>
    <row r="611" ht="30" customHeight="1" x14ac:dyDescent="0.3"/>
    <row r="612" ht="30" customHeight="1" x14ac:dyDescent="0.3"/>
    <row r="613" ht="30" customHeight="1" x14ac:dyDescent="0.3"/>
    <row r="614" ht="30" customHeight="1" x14ac:dyDescent="0.3"/>
    <row r="615" ht="30" customHeight="1" x14ac:dyDescent="0.3"/>
    <row r="616" ht="30" customHeight="1" x14ac:dyDescent="0.3"/>
    <row r="617" ht="30" customHeight="1" x14ac:dyDescent="0.3"/>
    <row r="618" ht="30" customHeight="1" x14ac:dyDescent="0.3"/>
    <row r="619" ht="30" customHeight="1" x14ac:dyDescent="0.3"/>
    <row r="620" ht="30" customHeight="1" x14ac:dyDescent="0.3"/>
    <row r="621" ht="30" customHeight="1" x14ac:dyDescent="0.3"/>
    <row r="622" ht="30" customHeight="1" x14ac:dyDescent="0.3"/>
    <row r="623" ht="30" customHeight="1" x14ac:dyDescent="0.3"/>
    <row r="624" ht="30" customHeight="1" x14ac:dyDescent="0.3"/>
    <row r="625" ht="30" customHeight="1" x14ac:dyDescent="0.3"/>
    <row r="626" ht="30" customHeight="1" x14ac:dyDescent="0.3"/>
    <row r="627" ht="30" customHeight="1" x14ac:dyDescent="0.3"/>
    <row r="628" ht="30" customHeight="1" x14ac:dyDescent="0.3"/>
    <row r="629" ht="30" customHeight="1" x14ac:dyDescent="0.3"/>
    <row r="630" ht="30" customHeight="1" x14ac:dyDescent="0.3"/>
    <row r="631" ht="30" customHeight="1" x14ac:dyDescent="0.3"/>
    <row r="632" ht="30" customHeight="1" x14ac:dyDescent="0.3"/>
    <row r="633" ht="30" customHeight="1" x14ac:dyDescent="0.3"/>
    <row r="634" ht="30" customHeight="1" x14ac:dyDescent="0.3"/>
    <row r="635" ht="30" customHeight="1" x14ac:dyDescent="0.3"/>
    <row r="636" ht="30" customHeight="1" x14ac:dyDescent="0.3"/>
    <row r="637" ht="30" customHeight="1" x14ac:dyDescent="0.3"/>
    <row r="638" ht="30" customHeight="1" x14ac:dyDescent="0.3"/>
    <row r="639" ht="30" customHeight="1" x14ac:dyDescent="0.3"/>
    <row r="640" ht="30" customHeight="1" x14ac:dyDescent="0.3"/>
    <row r="641" ht="30" customHeight="1" x14ac:dyDescent="0.3"/>
    <row r="642" ht="30" customHeight="1" x14ac:dyDescent="0.3"/>
    <row r="643" ht="30" customHeight="1" x14ac:dyDescent="0.3"/>
    <row r="644" ht="30" customHeight="1" x14ac:dyDescent="0.3"/>
    <row r="645" ht="30" customHeight="1" x14ac:dyDescent="0.3"/>
    <row r="646" ht="30" customHeight="1" x14ac:dyDescent="0.3"/>
    <row r="647" ht="30" customHeight="1" x14ac:dyDescent="0.3"/>
    <row r="648" ht="30" customHeight="1" x14ac:dyDescent="0.3"/>
    <row r="649" ht="30" customHeight="1" x14ac:dyDescent="0.3"/>
    <row r="650" ht="30" customHeight="1" x14ac:dyDescent="0.3"/>
    <row r="651" ht="30" customHeight="1" x14ac:dyDescent="0.3"/>
    <row r="652" ht="30" customHeight="1" x14ac:dyDescent="0.3"/>
    <row r="653" ht="30" customHeight="1" x14ac:dyDescent="0.3"/>
    <row r="654" ht="30" customHeight="1" x14ac:dyDescent="0.3"/>
    <row r="655" ht="30" customHeight="1" x14ac:dyDescent="0.3"/>
    <row r="656" ht="30" customHeight="1" x14ac:dyDescent="0.3"/>
    <row r="657" ht="30" customHeight="1" x14ac:dyDescent="0.3"/>
    <row r="658" ht="30" customHeight="1" x14ac:dyDescent="0.3"/>
    <row r="659" ht="30" customHeight="1" x14ac:dyDescent="0.3"/>
    <row r="660" ht="30" customHeight="1" x14ac:dyDescent="0.3"/>
    <row r="661" ht="30" customHeight="1" x14ac:dyDescent="0.3"/>
    <row r="662" ht="30" customHeight="1" x14ac:dyDescent="0.3"/>
    <row r="663" ht="30" customHeight="1" x14ac:dyDescent="0.3"/>
    <row r="664" ht="30" customHeight="1" x14ac:dyDescent="0.3"/>
    <row r="665" ht="30" customHeight="1" x14ac:dyDescent="0.3"/>
    <row r="666" ht="30" customHeight="1" x14ac:dyDescent="0.3"/>
    <row r="667" ht="30" customHeight="1" x14ac:dyDescent="0.3"/>
    <row r="668" ht="30" customHeight="1" x14ac:dyDescent="0.3"/>
    <row r="669" ht="30" customHeight="1" x14ac:dyDescent="0.3"/>
    <row r="670" ht="30" customHeight="1" x14ac:dyDescent="0.3"/>
    <row r="671" ht="30" customHeight="1" x14ac:dyDescent="0.3"/>
    <row r="672" ht="30" customHeight="1" x14ac:dyDescent="0.3"/>
    <row r="673" ht="30" customHeight="1" x14ac:dyDescent="0.3"/>
    <row r="674" ht="30" customHeight="1" x14ac:dyDescent="0.3"/>
    <row r="675" ht="30" customHeight="1" x14ac:dyDescent="0.3"/>
    <row r="676" ht="30" customHeight="1" x14ac:dyDescent="0.3"/>
    <row r="677" ht="30" customHeight="1" x14ac:dyDescent="0.3"/>
    <row r="678" ht="30" customHeight="1" x14ac:dyDescent="0.3"/>
    <row r="679" ht="30" customHeight="1" x14ac:dyDescent="0.3"/>
    <row r="680" ht="30" customHeight="1" x14ac:dyDescent="0.3"/>
    <row r="681" ht="30" customHeight="1" x14ac:dyDescent="0.3"/>
    <row r="682" ht="30" customHeight="1" x14ac:dyDescent="0.3"/>
    <row r="683" ht="30" customHeight="1" x14ac:dyDescent="0.3"/>
    <row r="684" ht="30" customHeight="1" x14ac:dyDescent="0.3"/>
    <row r="685" ht="30" customHeight="1" x14ac:dyDescent="0.3"/>
    <row r="686" ht="30" customHeight="1" x14ac:dyDescent="0.3"/>
    <row r="687" ht="30" customHeight="1" x14ac:dyDescent="0.3"/>
    <row r="688" ht="30" customHeight="1" x14ac:dyDescent="0.3"/>
    <row r="689" ht="30" customHeight="1" x14ac:dyDescent="0.3"/>
    <row r="690" ht="30" customHeight="1" x14ac:dyDescent="0.3"/>
    <row r="691" ht="30" customHeight="1" x14ac:dyDescent="0.3"/>
    <row r="692" ht="30" customHeight="1" x14ac:dyDescent="0.3"/>
    <row r="693" ht="30" customHeight="1" x14ac:dyDescent="0.3"/>
    <row r="694" ht="30" customHeight="1" x14ac:dyDescent="0.3"/>
    <row r="695" ht="30" customHeight="1" x14ac:dyDescent="0.3"/>
    <row r="696" ht="30" customHeight="1" x14ac:dyDescent="0.3"/>
    <row r="697" ht="30" customHeight="1" x14ac:dyDescent="0.3"/>
    <row r="698" ht="30" customHeight="1" x14ac:dyDescent="0.3"/>
    <row r="699" ht="30" customHeight="1" x14ac:dyDescent="0.3"/>
    <row r="700" ht="30" customHeight="1" x14ac:dyDescent="0.3"/>
    <row r="701" ht="30" customHeight="1" x14ac:dyDescent="0.3"/>
    <row r="702" ht="30" customHeight="1" x14ac:dyDescent="0.3"/>
    <row r="703" ht="30" customHeight="1" x14ac:dyDescent="0.3"/>
    <row r="704" ht="30" customHeight="1" x14ac:dyDescent="0.3"/>
    <row r="705" ht="30" customHeight="1" x14ac:dyDescent="0.3"/>
    <row r="706" ht="30" customHeight="1" x14ac:dyDescent="0.3"/>
    <row r="707" ht="30" customHeight="1" x14ac:dyDescent="0.3"/>
    <row r="708" ht="30" customHeight="1" x14ac:dyDescent="0.3"/>
    <row r="709" ht="30" customHeight="1" x14ac:dyDescent="0.3"/>
    <row r="710" ht="30" customHeight="1" x14ac:dyDescent="0.3"/>
    <row r="711" ht="30" customHeight="1" x14ac:dyDescent="0.3"/>
    <row r="712" ht="30" customHeight="1" x14ac:dyDescent="0.3"/>
    <row r="713" ht="30" customHeight="1" x14ac:dyDescent="0.3"/>
    <row r="714" ht="30" customHeight="1" x14ac:dyDescent="0.3"/>
    <row r="715" ht="30" customHeight="1" x14ac:dyDescent="0.3"/>
    <row r="716" ht="30" customHeight="1" x14ac:dyDescent="0.3"/>
    <row r="717" ht="30" customHeight="1" x14ac:dyDescent="0.3"/>
    <row r="718" ht="30" customHeight="1" x14ac:dyDescent="0.3"/>
    <row r="719" ht="30" customHeight="1" x14ac:dyDescent="0.3"/>
    <row r="720" ht="30" customHeight="1" x14ac:dyDescent="0.3"/>
    <row r="721" ht="30" customHeight="1" x14ac:dyDescent="0.3"/>
    <row r="722" ht="30" customHeight="1" x14ac:dyDescent="0.3"/>
    <row r="723" ht="30" customHeight="1" x14ac:dyDescent="0.3"/>
    <row r="724" ht="30" customHeight="1" x14ac:dyDescent="0.3"/>
    <row r="725" ht="30" customHeight="1" x14ac:dyDescent="0.3"/>
    <row r="726" ht="30" customHeight="1" x14ac:dyDescent="0.3"/>
    <row r="727" ht="30" customHeight="1" x14ac:dyDescent="0.3"/>
    <row r="728" ht="30" customHeight="1" x14ac:dyDescent="0.3"/>
    <row r="729" ht="30" customHeight="1" x14ac:dyDescent="0.3"/>
    <row r="730" ht="30" customHeight="1" x14ac:dyDescent="0.3"/>
    <row r="731" ht="30" customHeight="1" x14ac:dyDescent="0.3"/>
    <row r="732" ht="30" customHeight="1" x14ac:dyDescent="0.3"/>
    <row r="733" ht="30" customHeight="1" x14ac:dyDescent="0.3"/>
    <row r="734" ht="30" customHeight="1" x14ac:dyDescent="0.3"/>
    <row r="735" ht="30" customHeight="1" x14ac:dyDescent="0.3"/>
    <row r="736" ht="30" customHeight="1" x14ac:dyDescent="0.3"/>
    <row r="737" ht="30" customHeight="1" x14ac:dyDescent="0.3"/>
    <row r="738" ht="30" customHeight="1" x14ac:dyDescent="0.3"/>
    <row r="739" ht="30" customHeight="1" x14ac:dyDescent="0.3"/>
    <row r="740" ht="30" customHeight="1" x14ac:dyDescent="0.3"/>
    <row r="741" ht="30" customHeight="1" x14ac:dyDescent="0.3"/>
    <row r="742" ht="30" customHeight="1" x14ac:dyDescent="0.3"/>
    <row r="743" ht="30" customHeight="1" x14ac:dyDescent="0.3"/>
    <row r="744" ht="30" customHeight="1" x14ac:dyDescent="0.3"/>
    <row r="745" ht="30" customHeight="1" x14ac:dyDescent="0.3"/>
    <row r="746" ht="30" customHeight="1" x14ac:dyDescent="0.3"/>
    <row r="747" ht="30" customHeight="1" x14ac:dyDescent="0.3"/>
    <row r="748" ht="30" customHeight="1" x14ac:dyDescent="0.3"/>
    <row r="749" ht="30" customHeight="1" x14ac:dyDescent="0.3"/>
    <row r="750" ht="30" customHeight="1" x14ac:dyDescent="0.3"/>
    <row r="751" ht="30" customHeight="1" x14ac:dyDescent="0.3"/>
    <row r="752" ht="30" customHeight="1" x14ac:dyDescent="0.3"/>
    <row r="753" ht="30" customHeight="1" x14ac:dyDescent="0.3"/>
    <row r="754" ht="30" customHeight="1" x14ac:dyDescent="0.3"/>
    <row r="755" ht="30" customHeight="1" x14ac:dyDescent="0.3"/>
    <row r="756" ht="30" customHeight="1" x14ac:dyDescent="0.3"/>
    <row r="757" ht="30" customHeight="1" x14ac:dyDescent="0.3"/>
    <row r="758" ht="30" customHeight="1" x14ac:dyDescent="0.3"/>
    <row r="759" ht="30" customHeight="1" x14ac:dyDescent="0.3"/>
    <row r="760" ht="30" customHeight="1" x14ac:dyDescent="0.3"/>
    <row r="761" ht="30" customHeight="1" x14ac:dyDescent="0.3"/>
    <row r="762" ht="30" customHeight="1" x14ac:dyDescent="0.3"/>
    <row r="763" ht="30" customHeight="1" x14ac:dyDescent="0.3"/>
    <row r="764" ht="30" customHeight="1" x14ac:dyDescent="0.3"/>
    <row r="765" ht="30" customHeight="1" x14ac:dyDescent="0.3"/>
    <row r="766" ht="30" customHeight="1" x14ac:dyDescent="0.3"/>
    <row r="767" ht="30" customHeight="1" x14ac:dyDescent="0.3"/>
    <row r="768" ht="30" customHeight="1" x14ac:dyDescent="0.3"/>
    <row r="769" ht="30" customHeight="1" x14ac:dyDescent="0.3"/>
    <row r="770" ht="30" customHeight="1" x14ac:dyDescent="0.3"/>
    <row r="771" ht="30" customHeight="1" x14ac:dyDescent="0.3"/>
    <row r="772" ht="30" customHeight="1" x14ac:dyDescent="0.3"/>
    <row r="773" ht="30" customHeight="1" x14ac:dyDescent="0.3"/>
    <row r="774" ht="30" customHeight="1" x14ac:dyDescent="0.3"/>
    <row r="775" ht="30" customHeight="1" x14ac:dyDescent="0.3"/>
    <row r="776" ht="30" customHeight="1" x14ac:dyDescent="0.3"/>
    <row r="777" ht="30" customHeight="1" x14ac:dyDescent="0.3"/>
    <row r="778" ht="30" customHeight="1" x14ac:dyDescent="0.3"/>
    <row r="779" ht="30" customHeight="1" x14ac:dyDescent="0.3"/>
    <row r="780" ht="30" customHeight="1" x14ac:dyDescent="0.3"/>
    <row r="781" ht="30" customHeight="1" x14ac:dyDescent="0.3"/>
    <row r="782" ht="30" customHeight="1" x14ac:dyDescent="0.3"/>
    <row r="783" ht="30" customHeight="1" x14ac:dyDescent="0.3"/>
    <row r="784" ht="30" customHeight="1" x14ac:dyDescent="0.3"/>
    <row r="785" ht="30" customHeight="1" x14ac:dyDescent="0.3"/>
    <row r="786" ht="30" customHeight="1" x14ac:dyDescent="0.3"/>
    <row r="787" ht="30" customHeight="1" x14ac:dyDescent="0.3"/>
    <row r="788" ht="30" customHeight="1" x14ac:dyDescent="0.3"/>
    <row r="789" ht="30" customHeight="1" x14ac:dyDescent="0.3"/>
    <row r="790" ht="30" customHeight="1" x14ac:dyDescent="0.3"/>
    <row r="791" ht="30" customHeight="1" x14ac:dyDescent="0.3"/>
    <row r="792" ht="30" customHeight="1" x14ac:dyDescent="0.3"/>
    <row r="793" ht="30" customHeight="1" x14ac:dyDescent="0.3"/>
    <row r="794" ht="30" customHeight="1" x14ac:dyDescent="0.3"/>
    <row r="795" ht="30" customHeight="1" x14ac:dyDescent="0.3"/>
    <row r="796" ht="30" customHeight="1" x14ac:dyDescent="0.3"/>
    <row r="797" ht="30" customHeight="1" x14ac:dyDescent="0.3"/>
    <row r="798" ht="30" customHeight="1" x14ac:dyDescent="0.3"/>
    <row r="799" ht="30" customHeight="1" x14ac:dyDescent="0.3"/>
    <row r="800" ht="30" customHeight="1" x14ac:dyDescent="0.3"/>
    <row r="801" ht="30" customHeight="1" x14ac:dyDescent="0.3"/>
    <row r="802" ht="30" customHeight="1" x14ac:dyDescent="0.3"/>
    <row r="803" ht="30" customHeight="1" x14ac:dyDescent="0.3"/>
    <row r="804" ht="30" customHeight="1" x14ac:dyDescent="0.3"/>
    <row r="805" ht="30" customHeight="1" x14ac:dyDescent="0.3"/>
    <row r="806" ht="30" customHeight="1" x14ac:dyDescent="0.3"/>
    <row r="807" ht="30" customHeight="1" x14ac:dyDescent="0.3"/>
    <row r="808" ht="30" customHeight="1" x14ac:dyDescent="0.3"/>
    <row r="809" ht="30" customHeight="1" x14ac:dyDescent="0.3"/>
    <row r="810" ht="30" customHeight="1" x14ac:dyDescent="0.3"/>
    <row r="811" ht="30" customHeight="1" x14ac:dyDescent="0.3"/>
    <row r="812" ht="30" customHeight="1" x14ac:dyDescent="0.3"/>
    <row r="813" ht="30" customHeight="1" x14ac:dyDescent="0.3"/>
    <row r="814" ht="30" customHeight="1" x14ac:dyDescent="0.3"/>
    <row r="815" ht="30" customHeight="1" x14ac:dyDescent="0.3"/>
    <row r="816" ht="30" customHeight="1" x14ac:dyDescent="0.3"/>
    <row r="817" ht="30" customHeight="1" x14ac:dyDescent="0.3"/>
    <row r="818" ht="30" customHeight="1" x14ac:dyDescent="0.3"/>
    <row r="819" ht="30" customHeight="1" x14ac:dyDescent="0.3"/>
    <row r="820" ht="30" customHeight="1" x14ac:dyDescent="0.3"/>
    <row r="821" ht="30" customHeight="1" x14ac:dyDescent="0.3"/>
    <row r="822" ht="30" customHeight="1" x14ac:dyDescent="0.3"/>
    <row r="823" ht="30" customHeight="1" x14ac:dyDescent="0.3"/>
    <row r="824" ht="30" customHeight="1" x14ac:dyDescent="0.3"/>
    <row r="825" ht="30" customHeight="1" x14ac:dyDescent="0.3"/>
    <row r="826" ht="30" customHeight="1" x14ac:dyDescent="0.3"/>
    <row r="827" ht="30" customHeight="1" x14ac:dyDescent="0.3"/>
    <row r="828" ht="30" customHeight="1" x14ac:dyDescent="0.3"/>
    <row r="829" ht="30" customHeight="1" x14ac:dyDescent="0.3"/>
    <row r="830" ht="30" customHeight="1" x14ac:dyDescent="0.3"/>
    <row r="831" ht="30" customHeight="1" x14ac:dyDescent="0.3"/>
    <row r="832" ht="30" customHeight="1" x14ac:dyDescent="0.3"/>
    <row r="833" ht="30" customHeight="1" x14ac:dyDescent="0.3"/>
    <row r="834" ht="30" customHeight="1" x14ac:dyDescent="0.3"/>
    <row r="835" ht="30" customHeight="1" x14ac:dyDescent="0.3"/>
    <row r="836" ht="30" customHeight="1" x14ac:dyDescent="0.3"/>
    <row r="837" ht="30" customHeight="1" x14ac:dyDescent="0.3"/>
    <row r="838" ht="30" customHeight="1" x14ac:dyDescent="0.3"/>
    <row r="839" ht="30" customHeight="1" x14ac:dyDescent="0.3"/>
    <row r="840" ht="30" customHeight="1" x14ac:dyDescent="0.3"/>
    <row r="841" ht="30" customHeight="1" x14ac:dyDescent="0.3"/>
    <row r="842" ht="30" customHeight="1" x14ac:dyDescent="0.3"/>
    <row r="843" ht="30" customHeight="1" x14ac:dyDescent="0.3"/>
    <row r="844" ht="30" customHeight="1" x14ac:dyDescent="0.3"/>
    <row r="845" ht="30" customHeight="1" x14ac:dyDescent="0.3"/>
    <row r="846" ht="30" customHeight="1" x14ac:dyDescent="0.3"/>
    <row r="847" ht="30" customHeight="1" x14ac:dyDescent="0.3"/>
    <row r="848" ht="30" customHeight="1" x14ac:dyDescent="0.3"/>
    <row r="849" ht="30" customHeight="1" x14ac:dyDescent="0.3"/>
    <row r="850" ht="30" customHeight="1" x14ac:dyDescent="0.3"/>
    <row r="851" ht="30" customHeight="1" x14ac:dyDescent="0.3"/>
    <row r="852" ht="30" customHeight="1" x14ac:dyDescent="0.3"/>
    <row r="853" ht="30" customHeight="1" x14ac:dyDescent="0.3"/>
    <row r="854" ht="30" customHeight="1" x14ac:dyDescent="0.3"/>
    <row r="855" ht="30" customHeight="1" x14ac:dyDescent="0.3"/>
    <row r="856" ht="30" customHeight="1" x14ac:dyDescent="0.3"/>
    <row r="857" ht="30" customHeight="1" x14ac:dyDescent="0.3"/>
    <row r="858" ht="30" customHeight="1" x14ac:dyDescent="0.3"/>
    <row r="859" ht="30" customHeight="1" x14ac:dyDescent="0.3"/>
    <row r="860" ht="30" customHeight="1" x14ac:dyDescent="0.3"/>
    <row r="861" ht="30" customHeight="1" x14ac:dyDescent="0.3"/>
    <row r="862" ht="30" customHeight="1" x14ac:dyDescent="0.3"/>
    <row r="863" ht="30" customHeight="1" x14ac:dyDescent="0.3"/>
    <row r="864" ht="30" customHeight="1" x14ac:dyDescent="0.3"/>
    <row r="865" ht="30" customHeight="1" x14ac:dyDescent="0.3"/>
    <row r="866" ht="30" customHeight="1" x14ac:dyDescent="0.3"/>
    <row r="867" ht="30" customHeight="1" x14ac:dyDescent="0.3"/>
    <row r="868" ht="30" customHeight="1" x14ac:dyDescent="0.3"/>
    <row r="869" ht="30" customHeight="1" x14ac:dyDescent="0.3"/>
    <row r="870" ht="30" customHeight="1" x14ac:dyDescent="0.3"/>
    <row r="871" ht="30" customHeight="1" x14ac:dyDescent="0.3"/>
    <row r="872" ht="30" customHeight="1" x14ac:dyDescent="0.3"/>
    <row r="873" ht="30" customHeight="1" x14ac:dyDescent="0.3"/>
    <row r="874" ht="30" customHeight="1" x14ac:dyDescent="0.3"/>
    <row r="875" ht="30" customHeight="1" x14ac:dyDescent="0.3"/>
    <row r="876" ht="30" customHeight="1" x14ac:dyDescent="0.3"/>
    <row r="877" ht="30" customHeight="1" x14ac:dyDescent="0.3"/>
    <row r="878" ht="30" customHeight="1" x14ac:dyDescent="0.3"/>
    <row r="879" ht="30" customHeight="1" x14ac:dyDescent="0.3"/>
    <row r="880" ht="30" customHeight="1" x14ac:dyDescent="0.3"/>
    <row r="881" ht="30" customHeight="1" x14ac:dyDescent="0.3"/>
    <row r="882" ht="30" customHeight="1" x14ac:dyDescent="0.3"/>
    <row r="883" ht="30" customHeight="1" x14ac:dyDescent="0.3"/>
    <row r="884" ht="30" customHeight="1" x14ac:dyDescent="0.3"/>
    <row r="885" ht="30" customHeight="1" x14ac:dyDescent="0.3"/>
    <row r="886" ht="30" customHeight="1" x14ac:dyDescent="0.3"/>
    <row r="887" ht="30" customHeight="1" x14ac:dyDescent="0.3"/>
    <row r="888" ht="30" customHeight="1" x14ac:dyDescent="0.3"/>
    <row r="889" ht="30" customHeight="1" x14ac:dyDescent="0.3"/>
    <row r="890" ht="30" customHeight="1" x14ac:dyDescent="0.3"/>
    <row r="891" ht="30" customHeight="1" x14ac:dyDescent="0.3"/>
    <row r="892" ht="30" customHeight="1" x14ac:dyDescent="0.3"/>
    <row r="893" ht="30" customHeight="1" x14ac:dyDescent="0.3"/>
    <row r="894" ht="30" customHeight="1" x14ac:dyDescent="0.3"/>
    <row r="895" ht="30" customHeight="1" x14ac:dyDescent="0.3"/>
    <row r="896" ht="30" customHeight="1" x14ac:dyDescent="0.3"/>
    <row r="897" ht="30" customHeight="1" x14ac:dyDescent="0.3"/>
    <row r="898" ht="30" customHeight="1" x14ac:dyDescent="0.3"/>
    <row r="899" ht="30" customHeight="1" x14ac:dyDescent="0.3"/>
    <row r="900" ht="30" customHeight="1" x14ac:dyDescent="0.3"/>
    <row r="901" ht="30" customHeight="1" x14ac:dyDescent="0.3"/>
    <row r="902" ht="30" customHeight="1" x14ac:dyDescent="0.3"/>
    <row r="903" ht="30" customHeight="1" x14ac:dyDescent="0.3"/>
    <row r="904" ht="30" customHeight="1" x14ac:dyDescent="0.3"/>
    <row r="905" ht="30" customHeight="1" x14ac:dyDescent="0.3"/>
    <row r="906" ht="30" customHeight="1" x14ac:dyDescent="0.3"/>
    <row r="907" ht="30" customHeight="1" x14ac:dyDescent="0.3"/>
    <row r="908" ht="30" customHeight="1" x14ac:dyDescent="0.3"/>
    <row r="909" ht="30" customHeight="1" x14ac:dyDescent="0.3"/>
    <row r="910" ht="30" customHeight="1" x14ac:dyDescent="0.3"/>
    <row r="911" ht="30" customHeight="1" x14ac:dyDescent="0.3"/>
    <row r="912" ht="30" customHeight="1" x14ac:dyDescent="0.3"/>
    <row r="913" ht="30" customHeight="1" x14ac:dyDescent="0.3"/>
    <row r="914" ht="30" customHeight="1" x14ac:dyDescent="0.3"/>
    <row r="915" ht="30" customHeight="1" x14ac:dyDescent="0.3"/>
    <row r="916" ht="30" customHeight="1" x14ac:dyDescent="0.3"/>
    <row r="917" ht="30" customHeight="1" x14ac:dyDescent="0.3"/>
    <row r="918" ht="30" customHeight="1" x14ac:dyDescent="0.3"/>
    <row r="919" ht="30" customHeight="1" x14ac:dyDescent="0.3"/>
    <row r="920" ht="30" customHeight="1" x14ac:dyDescent="0.3"/>
    <row r="921" ht="30" customHeight="1" x14ac:dyDescent="0.3"/>
    <row r="922" ht="30" customHeight="1" x14ac:dyDescent="0.3"/>
    <row r="923" ht="30" customHeight="1" x14ac:dyDescent="0.3"/>
    <row r="924" ht="30" customHeight="1" x14ac:dyDescent="0.3"/>
    <row r="925" ht="30" customHeight="1" x14ac:dyDescent="0.3"/>
    <row r="926" ht="30" customHeight="1" x14ac:dyDescent="0.3"/>
    <row r="927" ht="30" customHeight="1" x14ac:dyDescent="0.3"/>
    <row r="928" ht="30" customHeight="1" x14ac:dyDescent="0.3"/>
    <row r="929" ht="30" customHeight="1" x14ac:dyDescent="0.3"/>
    <row r="930" ht="30" customHeight="1" x14ac:dyDescent="0.3"/>
    <row r="931" ht="30" customHeight="1" x14ac:dyDescent="0.3"/>
    <row r="932" ht="30" customHeight="1" x14ac:dyDescent="0.3"/>
    <row r="933" ht="30" customHeight="1" x14ac:dyDescent="0.3"/>
    <row r="934" ht="30" customHeight="1" x14ac:dyDescent="0.3"/>
    <row r="935" ht="30" customHeight="1" x14ac:dyDescent="0.3"/>
    <row r="936" ht="30" customHeight="1" x14ac:dyDescent="0.3"/>
    <row r="937" ht="30" customHeight="1" x14ac:dyDescent="0.3"/>
    <row r="938" ht="30" customHeight="1" x14ac:dyDescent="0.3"/>
    <row r="939" ht="30" customHeight="1" x14ac:dyDescent="0.3"/>
    <row r="940" ht="30" customHeight="1" x14ac:dyDescent="0.3"/>
    <row r="941" ht="30" customHeight="1" x14ac:dyDescent="0.3"/>
    <row r="942" ht="30" customHeight="1" x14ac:dyDescent="0.3"/>
    <row r="943" ht="30" customHeight="1" x14ac:dyDescent="0.3"/>
    <row r="944" ht="30" customHeight="1" x14ac:dyDescent="0.3"/>
    <row r="945" ht="30" customHeight="1" x14ac:dyDescent="0.3"/>
    <row r="946" ht="30" customHeight="1" x14ac:dyDescent="0.3"/>
    <row r="947" ht="30" customHeight="1" x14ac:dyDescent="0.3"/>
    <row r="948" ht="30" customHeight="1" x14ac:dyDescent="0.3"/>
    <row r="949" ht="30" customHeight="1" x14ac:dyDescent="0.3"/>
    <row r="950" ht="30" customHeight="1" x14ac:dyDescent="0.3"/>
    <row r="951" ht="30" customHeight="1" x14ac:dyDescent="0.3"/>
    <row r="952" ht="30" customHeight="1" x14ac:dyDescent="0.3"/>
    <row r="953" ht="30" customHeight="1" x14ac:dyDescent="0.3"/>
    <row r="954" ht="30" customHeight="1" x14ac:dyDescent="0.3"/>
    <row r="955" ht="30" customHeight="1" x14ac:dyDescent="0.3"/>
    <row r="956" ht="30" customHeight="1" x14ac:dyDescent="0.3"/>
    <row r="957" ht="30" customHeight="1" x14ac:dyDescent="0.3"/>
    <row r="958" ht="30" customHeight="1" x14ac:dyDescent="0.3"/>
    <row r="959" ht="30" customHeight="1" x14ac:dyDescent="0.3"/>
    <row r="960" ht="30" customHeight="1" x14ac:dyDescent="0.3"/>
    <row r="961" ht="30" customHeight="1" x14ac:dyDescent="0.3"/>
    <row r="962" ht="30" customHeight="1" x14ac:dyDescent="0.3"/>
    <row r="963" ht="30" customHeight="1" x14ac:dyDescent="0.3"/>
    <row r="964" ht="30" customHeight="1" x14ac:dyDescent="0.3"/>
    <row r="965" ht="30" customHeight="1" x14ac:dyDescent="0.3"/>
    <row r="966" ht="30" customHeight="1" x14ac:dyDescent="0.3"/>
    <row r="967" ht="30" customHeight="1" x14ac:dyDescent="0.3"/>
    <row r="968" ht="30" customHeight="1" x14ac:dyDescent="0.3"/>
    <row r="969" ht="30" customHeight="1" x14ac:dyDescent="0.3"/>
    <row r="970" ht="30" customHeight="1" x14ac:dyDescent="0.3"/>
    <row r="971" ht="30" customHeight="1" x14ac:dyDescent="0.3"/>
    <row r="972" ht="30" customHeight="1" x14ac:dyDescent="0.3"/>
    <row r="973" ht="30" customHeight="1" x14ac:dyDescent="0.3"/>
    <row r="974" ht="30" customHeight="1" x14ac:dyDescent="0.3"/>
    <row r="975" ht="30" customHeight="1" x14ac:dyDescent="0.3"/>
    <row r="976" ht="30" customHeight="1" x14ac:dyDescent="0.3"/>
    <row r="977" ht="30" customHeight="1" x14ac:dyDescent="0.3"/>
    <row r="978" ht="30" customHeight="1" x14ac:dyDescent="0.3"/>
    <row r="979" ht="30" customHeight="1" x14ac:dyDescent="0.3"/>
    <row r="980" ht="30" customHeight="1" x14ac:dyDescent="0.3"/>
    <row r="981" ht="30" customHeight="1" x14ac:dyDescent="0.3"/>
    <row r="982" ht="30" customHeight="1" x14ac:dyDescent="0.3"/>
    <row r="983" ht="30" customHeight="1" x14ac:dyDescent="0.3"/>
    <row r="984" ht="30" customHeight="1" x14ac:dyDescent="0.3"/>
    <row r="985" ht="30" customHeight="1" x14ac:dyDescent="0.3"/>
    <row r="986" ht="30" customHeight="1" x14ac:dyDescent="0.3"/>
    <row r="987" ht="30" customHeight="1" x14ac:dyDescent="0.3"/>
    <row r="988" ht="30" customHeight="1" x14ac:dyDescent="0.3"/>
    <row r="989" ht="30" customHeight="1" x14ac:dyDescent="0.3"/>
    <row r="990" ht="30" customHeight="1" x14ac:dyDescent="0.3"/>
    <row r="991" ht="30" customHeight="1" x14ac:dyDescent="0.3"/>
    <row r="992" ht="30" customHeight="1" x14ac:dyDescent="0.3"/>
    <row r="993" ht="30" customHeight="1" x14ac:dyDescent="0.3"/>
    <row r="994" ht="30" customHeight="1" x14ac:dyDescent="0.3"/>
    <row r="995" ht="30" customHeight="1" x14ac:dyDescent="0.3"/>
    <row r="996" ht="30" customHeight="1" x14ac:dyDescent="0.3"/>
    <row r="997" ht="30" customHeight="1" x14ac:dyDescent="0.3"/>
    <row r="998" ht="30" customHeight="1" x14ac:dyDescent="0.3"/>
    <row r="999" ht="30" customHeight="1" x14ac:dyDescent="0.3"/>
    <row r="1000" ht="30" customHeight="1" x14ac:dyDescent="0.3"/>
    <row r="1001" ht="30" customHeight="1" x14ac:dyDescent="0.3"/>
    <row r="1002" ht="30" customHeight="1" x14ac:dyDescent="0.3"/>
    <row r="1003" ht="30" customHeight="1" x14ac:dyDescent="0.3"/>
    <row r="1004" ht="30" customHeight="1" x14ac:dyDescent="0.3"/>
    <row r="1005" ht="30" customHeight="1" x14ac:dyDescent="0.3"/>
    <row r="1006" ht="30" customHeight="1" x14ac:dyDescent="0.3"/>
    <row r="1007" ht="30" customHeight="1" x14ac:dyDescent="0.3"/>
    <row r="1008" ht="30" customHeight="1" x14ac:dyDescent="0.3"/>
    <row r="1009" ht="30" customHeight="1" x14ac:dyDescent="0.3"/>
    <row r="1010" ht="30" customHeight="1" x14ac:dyDescent="0.3"/>
    <row r="1011" ht="30" customHeight="1" x14ac:dyDescent="0.3"/>
    <row r="1012" ht="30" customHeight="1" x14ac:dyDescent="0.3"/>
    <row r="1013" ht="30" customHeight="1" x14ac:dyDescent="0.3"/>
    <row r="1014" ht="30" customHeight="1" x14ac:dyDescent="0.3"/>
    <row r="1015" ht="30" customHeight="1" x14ac:dyDescent="0.3"/>
    <row r="1016" ht="30" customHeight="1" x14ac:dyDescent="0.3"/>
    <row r="1017" ht="30" customHeight="1" x14ac:dyDescent="0.3"/>
    <row r="1018" ht="30" customHeight="1" x14ac:dyDescent="0.3"/>
    <row r="1019" ht="30" customHeight="1" x14ac:dyDescent="0.3"/>
    <row r="1020" ht="30" customHeight="1" x14ac:dyDescent="0.3"/>
    <row r="1021" ht="30" customHeight="1" x14ac:dyDescent="0.3"/>
    <row r="1022" ht="30" customHeight="1" x14ac:dyDescent="0.3"/>
    <row r="1023" ht="30" customHeight="1" x14ac:dyDescent="0.3"/>
    <row r="1024" ht="30" customHeight="1" x14ac:dyDescent="0.3"/>
    <row r="1025" ht="30" customHeight="1" x14ac:dyDescent="0.3"/>
    <row r="1026" ht="30" customHeight="1" x14ac:dyDescent="0.3"/>
    <row r="1027" ht="30" customHeight="1" x14ac:dyDescent="0.3"/>
    <row r="1028" ht="30" customHeight="1" x14ac:dyDescent="0.3"/>
    <row r="1029" ht="30" customHeight="1" x14ac:dyDescent="0.3"/>
    <row r="1030" ht="30" customHeight="1" x14ac:dyDescent="0.3"/>
    <row r="1031" ht="30" customHeight="1" x14ac:dyDescent="0.3"/>
    <row r="1032" ht="30" customHeight="1" x14ac:dyDescent="0.3"/>
    <row r="1033" ht="30" customHeight="1" x14ac:dyDescent="0.3"/>
    <row r="1034" ht="30" customHeight="1" x14ac:dyDescent="0.3"/>
    <row r="1035" ht="30" customHeight="1" x14ac:dyDescent="0.3"/>
    <row r="1036" ht="30" customHeight="1" x14ac:dyDescent="0.3"/>
    <row r="1037" ht="30" customHeight="1" x14ac:dyDescent="0.3"/>
    <row r="1038" ht="30" customHeight="1" x14ac:dyDescent="0.3"/>
    <row r="1039" ht="30" customHeight="1" x14ac:dyDescent="0.3"/>
    <row r="1040" ht="30" customHeight="1" x14ac:dyDescent="0.3"/>
    <row r="1041" ht="30" customHeight="1" x14ac:dyDescent="0.3"/>
    <row r="1042" ht="30" customHeight="1" x14ac:dyDescent="0.3"/>
    <row r="1043" ht="30" customHeight="1" x14ac:dyDescent="0.3"/>
    <row r="1044" ht="30" customHeight="1" x14ac:dyDescent="0.3"/>
    <row r="1045" ht="30" customHeight="1" x14ac:dyDescent="0.3"/>
    <row r="1046" ht="30" customHeight="1" x14ac:dyDescent="0.3"/>
    <row r="1047" ht="30" customHeight="1" x14ac:dyDescent="0.3"/>
    <row r="1048" ht="30" customHeight="1" x14ac:dyDescent="0.3"/>
    <row r="1049" ht="30" customHeight="1" x14ac:dyDescent="0.3"/>
    <row r="1050" ht="30" customHeight="1" x14ac:dyDescent="0.3"/>
    <row r="1051" ht="30" customHeight="1" x14ac:dyDescent="0.3"/>
    <row r="1052" ht="30" customHeight="1" x14ac:dyDescent="0.3"/>
    <row r="1053" ht="30" customHeight="1" x14ac:dyDescent="0.3"/>
    <row r="1054" ht="30" customHeight="1" x14ac:dyDescent="0.3"/>
    <row r="1055" ht="30" customHeight="1" x14ac:dyDescent="0.3"/>
    <row r="1056" ht="30" customHeight="1" x14ac:dyDescent="0.3"/>
    <row r="1057" ht="30" customHeight="1" x14ac:dyDescent="0.3"/>
    <row r="1058" ht="30" customHeight="1" x14ac:dyDescent="0.3"/>
    <row r="1059" ht="30" customHeight="1" x14ac:dyDescent="0.3"/>
    <row r="1060" ht="30" customHeight="1" x14ac:dyDescent="0.3"/>
    <row r="1061" ht="30" customHeight="1" x14ac:dyDescent="0.3"/>
    <row r="1062" ht="30" customHeight="1" x14ac:dyDescent="0.3"/>
    <row r="1063" ht="30" customHeight="1" x14ac:dyDescent="0.3"/>
    <row r="1064" ht="30" customHeight="1" x14ac:dyDescent="0.3"/>
    <row r="1065" ht="30" customHeight="1" x14ac:dyDescent="0.3"/>
    <row r="1066" ht="30" customHeight="1" x14ac:dyDescent="0.3"/>
    <row r="1067" ht="30" customHeight="1" x14ac:dyDescent="0.3"/>
    <row r="1068" ht="30" customHeight="1" x14ac:dyDescent="0.3"/>
    <row r="1069" ht="30" customHeight="1" x14ac:dyDescent="0.3"/>
    <row r="1070" ht="30" customHeight="1" x14ac:dyDescent="0.3"/>
    <row r="1071" ht="30" customHeight="1" x14ac:dyDescent="0.3"/>
    <row r="1072" ht="30" customHeight="1" x14ac:dyDescent="0.3"/>
    <row r="1073" ht="30" customHeight="1" x14ac:dyDescent="0.3"/>
    <row r="1074" ht="30" customHeight="1" x14ac:dyDescent="0.3"/>
    <row r="1075" ht="30" customHeight="1" x14ac:dyDescent="0.3"/>
    <row r="1076" ht="30" customHeight="1" x14ac:dyDescent="0.3"/>
    <row r="1077" ht="30" customHeight="1" x14ac:dyDescent="0.3"/>
    <row r="1078" ht="30" customHeight="1" x14ac:dyDescent="0.3"/>
    <row r="1079" ht="30" customHeight="1" x14ac:dyDescent="0.3"/>
    <row r="1080" ht="30" customHeight="1" x14ac:dyDescent="0.3"/>
    <row r="1081" ht="30" customHeight="1" x14ac:dyDescent="0.3"/>
    <row r="1082" ht="30" customHeight="1" x14ac:dyDescent="0.3"/>
    <row r="1083" ht="30" customHeight="1" x14ac:dyDescent="0.3"/>
    <row r="1084" ht="30" customHeight="1" x14ac:dyDescent="0.3"/>
    <row r="1085" ht="30" customHeight="1" x14ac:dyDescent="0.3"/>
    <row r="1086" ht="30" customHeight="1" x14ac:dyDescent="0.3"/>
    <row r="1087" ht="30" customHeight="1" x14ac:dyDescent="0.3"/>
    <row r="1088" ht="30" customHeight="1" x14ac:dyDescent="0.3"/>
    <row r="1089" ht="30" customHeight="1" x14ac:dyDescent="0.3"/>
    <row r="1090" ht="30" customHeight="1" x14ac:dyDescent="0.3"/>
    <row r="1091" ht="30" customHeight="1" x14ac:dyDescent="0.3"/>
    <row r="1092" ht="30" customHeight="1" x14ac:dyDescent="0.3"/>
    <row r="1093" ht="30" customHeight="1" x14ac:dyDescent="0.3"/>
    <row r="1094" ht="30" customHeight="1" x14ac:dyDescent="0.3"/>
    <row r="1095" ht="30" customHeight="1" x14ac:dyDescent="0.3"/>
    <row r="1096" ht="30" customHeight="1" x14ac:dyDescent="0.3"/>
    <row r="1097" ht="30" customHeight="1" x14ac:dyDescent="0.3"/>
    <row r="1098" ht="30" customHeight="1" x14ac:dyDescent="0.3"/>
    <row r="1099" ht="30" customHeight="1" x14ac:dyDescent="0.3"/>
    <row r="1100" ht="30" customHeight="1" x14ac:dyDescent="0.3"/>
    <row r="1101" ht="30" customHeight="1" x14ac:dyDescent="0.3"/>
    <row r="1102" ht="30" customHeight="1" x14ac:dyDescent="0.3"/>
    <row r="1103" ht="30" customHeight="1" x14ac:dyDescent="0.3"/>
    <row r="1104" ht="30" customHeight="1" x14ac:dyDescent="0.3"/>
    <row r="1105" ht="30" customHeight="1" x14ac:dyDescent="0.3"/>
    <row r="1106" ht="30" customHeight="1" x14ac:dyDescent="0.3"/>
    <row r="1107" ht="30" customHeight="1" x14ac:dyDescent="0.3"/>
    <row r="1108" ht="30" customHeight="1" x14ac:dyDescent="0.3"/>
    <row r="1109" ht="30" customHeight="1" x14ac:dyDescent="0.3"/>
    <row r="1110" ht="30" customHeight="1" x14ac:dyDescent="0.3"/>
    <row r="1111" ht="30" customHeight="1" x14ac:dyDescent="0.3"/>
    <row r="1112" ht="30" customHeight="1" x14ac:dyDescent="0.3"/>
    <row r="1113" ht="30" customHeight="1" x14ac:dyDescent="0.3"/>
    <row r="1114" ht="30" customHeight="1" x14ac:dyDescent="0.3"/>
    <row r="1115" ht="30" customHeight="1" x14ac:dyDescent="0.3"/>
    <row r="1116" ht="30" customHeight="1" x14ac:dyDescent="0.3"/>
    <row r="1117" ht="30" customHeight="1" x14ac:dyDescent="0.3"/>
    <row r="1118" ht="30" customHeight="1" x14ac:dyDescent="0.3"/>
    <row r="1119" ht="30" customHeight="1" x14ac:dyDescent="0.3"/>
    <row r="1120" ht="30" customHeight="1" x14ac:dyDescent="0.3"/>
    <row r="1121" ht="30" customHeight="1" x14ac:dyDescent="0.3"/>
    <row r="1122" ht="30" customHeight="1" x14ac:dyDescent="0.3"/>
    <row r="1123" ht="30" customHeight="1" x14ac:dyDescent="0.3"/>
    <row r="1124" ht="30" customHeight="1" x14ac:dyDescent="0.3"/>
    <row r="1125" ht="30" customHeight="1" x14ac:dyDescent="0.3"/>
    <row r="1126" ht="30" customHeight="1" x14ac:dyDescent="0.3"/>
    <row r="1127" ht="30" customHeight="1" x14ac:dyDescent="0.3"/>
    <row r="1128" ht="30" customHeight="1" x14ac:dyDescent="0.3"/>
    <row r="1129" ht="30" customHeight="1" x14ac:dyDescent="0.3"/>
    <row r="1130" ht="30" customHeight="1" x14ac:dyDescent="0.3"/>
    <row r="1131" ht="30" customHeight="1" x14ac:dyDescent="0.3"/>
    <row r="1132" ht="30" customHeight="1" x14ac:dyDescent="0.3"/>
    <row r="1133" ht="30" customHeight="1" x14ac:dyDescent="0.3"/>
    <row r="1134" ht="30" customHeight="1" x14ac:dyDescent="0.3"/>
    <row r="1135" ht="30" customHeight="1" x14ac:dyDescent="0.3"/>
    <row r="1136" ht="30" customHeight="1" x14ac:dyDescent="0.3"/>
    <row r="1137" ht="30" customHeight="1" x14ac:dyDescent="0.3"/>
    <row r="1138" ht="30" customHeight="1" x14ac:dyDescent="0.3"/>
    <row r="1139" ht="30" customHeight="1" x14ac:dyDescent="0.3"/>
    <row r="1140" ht="30" customHeight="1" x14ac:dyDescent="0.3"/>
    <row r="1141" ht="30" customHeight="1" x14ac:dyDescent="0.3"/>
    <row r="1142" ht="30" customHeight="1" x14ac:dyDescent="0.3"/>
    <row r="1143" ht="30" customHeight="1" x14ac:dyDescent="0.3"/>
    <row r="1144" ht="30" customHeight="1" x14ac:dyDescent="0.3"/>
    <row r="1145" ht="30" customHeight="1" x14ac:dyDescent="0.3"/>
    <row r="1146" ht="30" customHeight="1" x14ac:dyDescent="0.3"/>
    <row r="1147" ht="30" customHeight="1" x14ac:dyDescent="0.3"/>
    <row r="1148" ht="30" customHeight="1" x14ac:dyDescent="0.3"/>
    <row r="1149" ht="30" customHeight="1" x14ac:dyDescent="0.3"/>
    <row r="1150" ht="30" customHeight="1" x14ac:dyDescent="0.3"/>
    <row r="1151" ht="30" customHeight="1" x14ac:dyDescent="0.3"/>
    <row r="1152" ht="30" customHeight="1" x14ac:dyDescent="0.3"/>
    <row r="1153" ht="30" customHeight="1" x14ac:dyDescent="0.3"/>
    <row r="1154" ht="30" customHeight="1" x14ac:dyDescent="0.3"/>
    <row r="1155" ht="30" customHeight="1" x14ac:dyDescent="0.3"/>
    <row r="1156" ht="30" customHeight="1" x14ac:dyDescent="0.3"/>
    <row r="1157" ht="30" customHeight="1" x14ac:dyDescent="0.3"/>
    <row r="1158" ht="30" customHeight="1" x14ac:dyDescent="0.3"/>
    <row r="1159" ht="30" customHeight="1" x14ac:dyDescent="0.3"/>
    <row r="1160" ht="30" customHeight="1" x14ac:dyDescent="0.3"/>
    <row r="1161" ht="30" customHeight="1" x14ac:dyDescent="0.3"/>
    <row r="1162" ht="30" customHeight="1" x14ac:dyDescent="0.3"/>
    <row r="1163" ht="30" customHeight="1" x14ac:dyDescent="0.3"/>
    <row r="1164" ht="30" customHeight="1" x14ac:dyDescent="0.3"/>
    <row r="1165" ht="30" customHeight="1" x14ac:dyDescent="0.3"/>
    <row r="1166" ht="30" customHeight="1" x14ac:dyDescent="0.3"/>
    <row r="1167" ht="30" customHeight="1" x14ac:dyDescent="0.3"/>
    <row r="1168" ht="30" customHeight="1" x14ac:dyDescent="0.3"/>
    <row r="1169" ht="30" customHeight="1" x14ac:dyDescent="0.3"/>
    <row r="1170" ht="30" customHeight="1" x14ac:dyDescent="0.3"/>
    <row r="1171" ht="30" customHeight="1" x14ac:dyDescent="0.3"/>
    <row r="1172" ht="30" customHeight="1" x14ac:dyDescent="0.3"/>
    <row r="1173" ht="30" customHeight="1" x14ac:dyDescent="0.3"/>
    <row r="1174" ht="30" customHeight="1" x14ac:dyDescent="0.3"/>
    <row r="1175" ht="30" customHeight="1" x14ac:dyDescent="0.3"/>
    <row r="1176" ht="30" customHeight="1" x14ac:dyDescent="0.3"/>
    <row r="1177" ht="30" customHeight="1" x14ac:dyDescent="0.3"/>
    <row r="1178" ht="30" customHeight="1" x14ac:dyDescent="0.3"/>
    <row r="1179" ht="30" customHeight="1" x14ac:dyDescent="0.3"/>
    <row r="1180" ht="30" customHeight="1" x14ac:dyDescent="0.3"/>
    <row r="1181" ht="30" customHeight="1" x14ac:dyDescent="0.3"/>
    <row r="1182" ht="30" customHeight="1" x14ac:dyDescent="0.3"/>
    <row r="1183" ht="30" customHeight="1" x14ac:dyDescent="0.3"/>
    <row r="1184" ht="30" customHeight="1" x14ac:dyDescent="0.3"/>
    <row r="1185" ht="30" customHeight="1" x14ac:dyDescent="0.3"/>
    <row r="1186" ht="30" customHeight="1" x14ac:dyDescent="0.3"/>
    <row r="1187" ht="30" customHeight="1" x14ac:dyDescent="0.3"/>
    <row r="1188" ht="30" customHeight="1" x14ac:dyDescent="0.3"/>
    <row r="1189" ht="30" customHeight="1" x14ac:dyDescent="0.3"/>
    <row r="1190" ht="30" customHeight="1" x14ac:dyDescent="0.3"/>
    <row r="1191" ht="30" customHeight="1" x14ac:dyDescent="0.3"/>
    <row r="1192" ht="30" customHeight="1" x14ac:dyDescent="0.3"/>
    <row r="1193" ht="30" customHeight="1" x14ac:dyDescent="0.3"/>
    <row r="1194" ht="30" customHeight="1" x14ac:dyDescent="0.3"/>
    <row r="1195" ht="30" customHeight="1" x14ac:dyDescent="0.3"/>
    <row r="1196" ht="30" customHeight="1" x14ac:dyDescent="0.3"/>
    <row r="1197" ht="30" customHeight="1" x14ac:dyDescent="0.3"/>
    <row r="1198" ht="30" customHeight="1" x14ac:dyDescent="0.3"/>
    <row r="1199" ht="30" customHeight="1" x14ac:dyDescent="0.3"/>
    <row r="1200" ht="30" customHeight="1" x14ac:dyDescent="0.3"/>
    <row r="1201" ht="30" customHeight="1" x14ac:dyDescent="0.3"/>
    <row r="1202" ht="30" customHeight="1" x14ac:dyDescent="0.3"/>
    <row r="1203" ht="30" customHeight="1" x14ac:dyDescent="0.3"/>
    <row r="1204" ht="30" customHeight="1" x14ac:dyDescent="0.3"/>
    <row r="1205" ht="30" customHeight="1" x14ac:dyDescent="0.3"/>
    <row r="1206" ht="30" customHeight="1" x14ac:dyDescent="0.3"/>
    <row r="1207" ht="30" customHeight="1" x14ac:dyDescent="0.3"/>
    <row r="1208" ht="30" customHeight="1" x14ac:dyDescent="0.3"/>
    <row r="1209" ht="30" customHeight="1" x14ac:dyDescent="0.3"/>
    <row r="1210" ht="30" customHeight="1" x14ac:dyDescent="0.3"/>
    <row r="1211" ht="30" customHeight="1" x14ac:dyDescent="0.3"/>
    <row r="1212" ht="30" customHeight="1" x14ac:dyDescent="0.3"/>
    <row r="1213" ht="30" customHeight="1" x14ac:dyDescent="0.3"/>
    <row r="1214" ht="30" customHeight="1" x14ac:dyDescent="0.3"/>
    <row r="1215" ht="30" customHeight="1" x14ac:dyDescent="0.3"/>
    <row r="1216" ht="30" customHeight="1" x14ac:dyDescent="0.3"/>
    <row r="1217" ht="30" customHeight="1" x14ac:dyDescent="0.3"/>
    <row r="1218" ht="30" customHeight="1" x14ac:dyDescent="0.3"/>
    <row r="1219" ht="30" customHeight="1" x14ac:dyDescent="0.3"/>
    <row r="1220" ht="30" customHeight="1" x14ac:dyDescent="0.3"/>
    <row r="1221" ht="30" customHeight="1" x14ac:dyDescent="0.3"/>
    <row r="1222" ht="30" customHeight="1" x14ac:dyDescent="0.3"/>
    <row r="1223" ht="30" customHeight="1" x14ac:dyDescent="0.3"/>
    <row r="1224" ht="30" customHeight="1" x14ac:dyDescent="0.3"/>
    <row r="1225" ht="30" customHeight="1" x14ac:dyDescent="0.3"/>
    <row r="1226" ht="30" customHeight="1" x14ac:dyDescent="0.3"/>
  </sheetData>
  <mergeCells count="1332">
    <mergeCell ref="B2:E2"/>
    <mergeCell ref="F2:M2"/>
    <mergeCell ref="N2:P2"/>
    <mergeCell ref="Q2:U2"/>
    <mergeCell ref="B3:E3"/>
    <mergeCell ref="F3:M3"/>
    <mergeCell ref="N3:P3"/>
    <mergeCell ref="Q3:U3"/>
    <mergeCell ref="B4:U4"/>
    <mergeCell ref="B5:U7"/>
    <mergeCell ref="B9:U10"/>
    <mergeCell ref="B12:E12"/>
    <mergeCell ref="F12:U12"/>
    <mergeCell ref="B13:E16"/>
    <mergeCell ref="F13:U16"/>
    <mergeCell ref="B17:E17"/>
    <mergeCell ref="F17:U17"/>
    <mergeCell ref="B18:E18"/>
    <mergeCell ref="F18:U18"/>
    <mergeCell ref="B20:F21"/>
    <mergeCell ref="G20:K21"/>
    <mergeCell ref="L20:U20"/>
    <mergeCell ref="V20:AE20"/>
    <mergeCell ref="AF20:AO20"/>
    <mergeCell ref="AP20:AT21"/>
    <mergeCell ref="L21:P21"/>
    <mergeCell ref="Q21:U21"/>
    <mergeCell ref="V21:Z21"/>
    <mergeCell ref="AA21:AE21"/>
    <mergeCell ref="AF21:AJ21"/>
    <mergeCell ref="AK21:AO21"/>
    <mergeCell ref="B22:F22"/>
    <mergeCell ref="G22:K22"/>
    <mergeCell ref="L22:P22"/>
    <mergeCell ref="Q22:U22"/>
    <mergeCell ref="V22:Z22"/>
    <mergeCell ref="AA22:AE22"/>
    <mergeCell ref="AF22:AJ22"/>
    <mergeCell ref="AK22:AO22"/>
    <mergeCell ref="AP22:AT22"/>
    <mergeCell ref="AX22:AY22"/>
    <mergeCell ref="B23:F23"/>
    <mergeCell ref="G23:K23"/>
    <mergeCell ref="L23:P23"/>
    <mergeCell ref="Q23:U23"/>
    <mergeCell ref="V23:Z23"/>
    <mergeCell ref="AA23:AE23"/>
    <mergeCell ref="AF23:AJ23"/>
    <mergeCell ref="AK23:AO23"/>
    <mergeCell ref="AP23:AT23"/>
    <mergeCell ref="AX23:AY23"/>
    <mergeCell ref="B24:F24"/>
    <mergeCell ref="G24:K24"/>
    <mergeCell ref="L24:P24"/>
    <mergeCell ref="Q24:U24"/>
    <mergeCell ref="V24:Z24"/>
    <mergeCell ref="AA24:AE24"/>
    <mergeCell ref="AF24:AJ24"/>
    <mergeCell ref="AK24:AO24"/>
    <mergeCell ref="AP24:AT24"/>
    <mergeCell ref="AX24:AY24"/>
    <mergeCell ref="B25:F25"/>
    <mergeCell ref="G25:K25"/>
    <mergeCell ref="L25:P25"/>
    <mergeCell ref="Q25:U25"/>
    <mergeCell ref="V25:Z25"/>
    <mergeCell ref="AA25:AE25"/>
    <mergeCell ref="AF25:AJ25"/>
    <mergeCell ref="AK25:AO25"/>
    <mergeCell ref="AP25:AT25"/>
    <mergeCell ref="AX25:AY25"/>
    <mergeCell ref="B26:F26"/>
    <mergeCell ref="G26:K26"/>
    <mergeCell ref="L26:P26"/>
    <mergeCell ref="Q26:U26"/>
    <mergeCell ref="V26:Z26"/>
    <mergeCell ref="AA26:AE26"/>
    <mergeCell ref="AF26:AJ26"/>
    <mergeCell ref="AK26:AO26"/>
    <mergeCell ref="AP26:AT26"/>
    <mergeCell ref="B27:F27"/>
    <mergeCell ref="G27:K27"/>
    <mergeCell ref="L27:P27"/>
    <mergeCell ref="Q27:U27"/>
    <mergeCell ref="V27:Z27"/>
    <mergeCell ref="AA27:AE27"/>
    <mergeCell ref="AF27:AJ27"/>
    <mergeCell ref="AK27:AO27"/>
    <mergeCell ref="AP27:AT27"/>
    <mergeCell ref="B28:F28"/>
    <mergeCell ref="G28:K28"/>
    <mergeCell ref="L28:P28"/>
    <mergeCell ref="Q28:U28"/>
    <mergeCell ref="V28:Z28"/>
    <mergeCell ref="AA28:AE28"/>
    <mergeCell ref="AF28:AJ28"/>
    <mergeCell ref="AK28:AO28"/>
    <mergeCell ref="AP28:AT28"/>
    <mergeCell ref="B29:F29"/>
    <mergeCell ref="G29:K29"/>
    <mergeCell ref="L29:P29"/>
    <mergeCell ref="Q29:U29"/>
    <mergeCell ref="V29:Z29"/>
    <mergeCell ref="AA29:AE29"/>
    <mergeCell ref="AF29:AJ29"/>
    <mergeCell ref="AK29:AO29"/>
    <mergeCell ref="AP29:AT29"/>
    <mergeCell ref="B30:F30"/>
    <mergeCell ref="G30:K30"/>
    <mergeCell ref="L30:P30"/>
    <mergeCell ref="Q30:U30"/>
    <mergeCell ref="V30:Z30"/>
    <mergeCell ref="AA30:AE30"/>
    <mergeCell ref="AF30:AJ30"/>
    <mergeCell ref="AK30:AO30"/>
    <mergeCell ref="AP30:AT30"/>
    <mergeCell ref="B31:F31"/>
    <mergeCell ref="G31:K31"/>
    <mergeCell ref="L31:P31"/>
    <mergeCell ref="Q31:U31"/>
    <mergeCell ref="V31:Z31"/>
    <mergeCell ref="AA31:AE31"/>
    <mergeCell ref="AF31:AJ31"/>
    <mergeCell ref="AK31:AO31"/>
    <mergeCell ref="AP31:AT31"/>
    <mergeCell ref="B32:F32"/>
    <mergeCell ref="G32:K32"/>
    <mergeCell ref="L32:P32"/>
    <mergeCell ref="Q32:U32"/>
    <mergeCell ref="V32:Z32"/>
    <mergeCell ref="AA32:AE32"/>
    <mergeCell ref="AF32:AJ32"/>
    <mergeCell ref="AK32:AO32"/>
    <mergeCell ref="AP32:AT32"/>
    <mergeCell ref="B33:F33"/>
    <mergeCell ref="G33:K33"/>
    <mergeCell ref="L33:P33"/>
    <mergeCell ref="Q33:U33"/>
    <mergeCell ref="V33:Z33"/>
    <mergeCell ref="AA33:AE33"/>
    <mergeCell ref="AF33:AJ33"/>
    <mergeCell ref="AK33:AO33"/>
    <mergeCell ref="AP33:AT33"/>
    <mergeCell ref="B34:F34"/>
    <mergeCell ref="G34:K34"/>
    <mergeCell ref="L34:P34"/>
    <mergeCell ref="Q34:U34"/>
    <mergeCell ref="V34:Z34"/>
    <mergeCell ref="AA34:AE34"/>
    <mergeCell ref="AF34:AJ34"/>
    <mergeCell ref="AK34:AO34"/>
    <mergeCell ref="AP34:AT34"/>
    <mergeCell ref="B35:F35"/>
    <mergeCell ref="G35:K35"/>
    <mergeCell ref="L35:P35"/>
    <mergeCell ref="Q35:U35"/>
    <mergeCell ref="V35:Z35"/>
    <mergeCell ref="AA35:AE35"/>
    <mergeCell ref="AF35:AJ35"/>
    <mergeCell ref="AK35:AO35"/>
    <mergeCell ref="AP35:AT35"/>
    <mergeCell ref="B36:F36"/>
    <mergeCell ref="G36:K36"/>
    <mergeCell ref="L36:P36"/>
    <mergeCell ref="Q36:U36"/>
    <mergeCell ref="V36:Z36"/>
    <mergeCell ref="AA36:AE36"/>
    <mergeCell ref="AF36:AJ36"/>
    <mergeCell ref="AK36:AO36"/>
    <mergeCell ref="AP36:AT36"/>
    <mergeCell ref="B37:F37"/>
    <mergeCell ref="G37:K37"/>
    <mergeCell ref="L37:P37"/>
    <mergeCell ref="Q37:U37"/>
    <mergeCell ref="V37:Z37"/>
    <mergeCell ref="AA37:AE37"/>
    <mergeCell ref="AF37:AJ37"/>
    <mergeCell ref="AK37:AO37"/>
    <mergeCell ref="AP37:AT37"/>
    <mergeCell ref="B38:F38"/>
    <mergeCell ref="G38:K38"/>
    <mergeCell ref="L38:P38"/>
    <mergeCell ref="Q38:U38"/>
    <mergeCell ref="V38:Z38"/>
    <mergeCell ref="AA38:AE38"/>
    <mergeCell ref="AF38:AJ38"/>
    <mergeCell ref="AK38:AO38"/>
    <mergeCell ref="AP38:AT38"/>
    <mergeCell ref="B39:F39"/>
    <mergeCell ref="G39:K39"/>
    <mergeCell ref="L39:P39"/>
    <mergeCell ref="Q39:U39"/>
    <mergeCell ref="V39:Z39"/>
    <mergeCell ref="AA39:AE39"/>
    <mergeCell ref="AF39:AJ39"/>
    <mergeCell ref="AK39:AO39"/>
    <mergeCell ref="AP39:AT39"/>
    <mergeCell ref="B40:F40"/>
    <mergeCell ref="G40:K40"/>
    <mergeCell ref="L40:P40"/>
    <mergeCell ref="Q40:U40"/>
    <mergeCell ref="V40:Z40"/>
    <mergeCell ref="AA40:AE40"/>
    <mergeCell ref="AF40:AJ40"/>
    <mergeCell ref="AK40:AO40"/>
    <mergeCell ref="AP40:AT40"/>
    <mergeCell ref="B41:F41"/>
    <mergeCell ref="G41:K41"/>
    <mergeCell ref="L41:P41"/>
    <mergeCell ref="Q41:U41"/>
    <mergeCell ref="V41:Z41"/>
    <mergeCell ref="AA41:AE41"/>
    <mergeCell ref="AF41:AJ41"/>
    <mergeCell ref="AK41:AO41"/>
    <mergeCell ref="AP41:AT41"/>
    <mergeCell ref="B42:F42"/>
    <mergeCell ref="G42:K42"/>
    <mergeCell ref="L42:P42"/>
    <mergeCell ref="Q42:U42"/>
    <mergeCell ref="V42:Z42"/>
    <mergeCell ref="AA42:AE42"/>
    <mergeCell ref="AF42:AJ42"/>
    <mergeCell ref="AK42:AO42"/>
    <mergeCell ref="AP42:AT42"/>
    <mergeCell ref="B43:F43"/>
    <mergeCell ref="G43:K43"/>
    <mergeCell ref="L43:P43"/>
    <mergeCell ref="Q43:U43"/>
    <mergeCell ref="V43:Z43"/>
    <mergeCell ref="AA43:AE43"/>
    <mergeCell ref="AF43:AJ43"/>
    <mergeCell ref="AK43:AO43"/>
    <mergeCell ref="AP43:AT43"/>
    <mergeCell ref="B44:F44"/>
    <mergeCell ref="G44:K44"/>
    <mergeCell ref="L44:P44"/>
    <mergeCell ref="Q44:U44"/>
    <mergeCell ref="V44:Z44"/>
    <mergeCell ref="AA44:AE44"/>
    <mergeCell ref="AF44:AJ44"/>
    <mergeCell ref="AK44:AO44"/>
    <mergeCell ref="AP44:AT44"/>
    <mergeCell ref="B45:F45"/>
    <mergeCell ref="G45:K45"/>
    <mergeCell ref="L45:P45"/>
    <mergeCell ref="Q45:U45"/>
    <mergeCell ref="V45:Z45"/>
    <mergeCell ref="AA45:AE45"/>
    <mergeCell ref="AF45:AJ45"/>
    <mergeCell ref="AK45:AO45"/>
    <mergeCell ref="AP45:AT45"/>
    <mergeCell ref="B46:F46"/>
    <mergeCell ref="G46:K46"/>
    <mergeCell ref="L46:P46"/>
    <mergeCell ref="Q46:U46"/>
    <mergeCell ref="V46:Z46"/>
    <mergeCell ref="AA46:AE46"/>
    <mergeCell ref="AF46:AJ46"/>
    <mergeCell ref="AK46:AO46"/>
    <mergeCell ref="AP46:AT46"/>
    <mergeCell ref="B47:F47"/>
    <mergeCell ref="G47:K47"/>
    <mergeCell ref="L47:P47"/>
    <mergeCell ref="Q47:U47"/>
    <mergeCell ref="V47:Z47"/>
    <mergeCell ref="AA47:AE47"/>
    <mergeCell ref="AF47:AJ47"/>
    <mergeCell ref="AK47:AO47"/>
    <mergeCell ref="AP47:AT47"/>
    <mergeCell ref="B48:F48"/>
    <mergeCell ref="G48:K48"/>
    <mergeCell ref="L48:P48"/>
    <mergeCell ref="Q48:U48"/>
    <mergeCell ref="V48:Z48"/>
    <mergeCell ref="AA48:AE48"/>
    <mergeCell ref="AF48:AJ48"/>
    <mergeCell ref="AK48:AO48"/>
    <mergeCell ref="AP48:AT48"/>
    <mergeCell ref="B49:F49"/>
    <mergeCell ref="G49:K49"/>
    <mergeCell ref="L49:P49"/>
    <mergeCell ref="Q49:U49"/>
    <mergeCell ref="V49:Z49"/>
    <mergeCell ref="AA49:AE49"/>
    <mergeCell ref="AF49:AJ49"/>
    <mergeCell ref="AK49:AO49"/>
    <mergeCell ref="AP49:AT49"/>
    <mergeCell ref="B50:F50"/>
    <mergeCell ref="G50:K50"/>
    <mergeCell ref="L50:P50"/>
    <mergeCell ref="Q50:U50"/>
    <mergeCell ref="V50:Z50"/>
    <mergeCell ref="AA50:AE50"/>
    <mergeCell ref="AF50:AJ50"/>
    <mergeCell ref="AK50:AO50"/>
    <mergeCell ref="AP50:AT50"/>
    <mergeCell ref="B51:F51"/>
    <mergeCell ref="G51:K51"/>
    <mergeCell ref="L51:P51"/>
    <mergeCell ref="Q51:U51"/>
    <mergeCell ref="V51:Z51"/>
    <mergeCell ref="AA51:AE51"/>
    <mergeCell ref="AF51:AJ51"/>
    <mergeCell ref="AK51:AO51"/>
    <mergeCell ref="AP51:AT51"/>
    <mergeCell ref="B52:F52"/>
    <mergeCell ref="G52:K52"/>
    <mergeCell ref="L52:P52"/>
    <mergeCell ref="Q52:U52"/>
    <mergeCell ref="V52:Z52"/>
    <mergeCell ref="AA52:AE52"/>
    <mergeCell ref="AF52:AJ52"/>
    <mergeCell ref="AK52:AO52"/>
    <mergeCell ref="AP52:AT52"/>
    <mergeCell ref="B53:F53"/>
    <mergeCell ref="G53:K53"/>
    <mergeCell ref="L53:P53"/>
    <mergeCell ref="Q53:U53"/>
    <mergeCell ref="V53:Z53"/>
    <mergeCell ref="AA53:AE53"/>
    <mergeCell ref="AF53:AJ53"/>
    <mergeCell ref="AK53:AO53"/>
    <mergeCell ref="AP53:AT53"/>
    <mergeCell ref="B54:F54"/>
    <mergeCell ref="G54:K54"/>
    <mergeCell ref="L54:P54"/>
    <mergeCell ref="Q54:U54"/>
    <mergeCell ref="V54:Z54"/>
    <mergeCell ref="AA54:AE54"/>
    <mergeCell ref="AF54:AJ54"/>
    <mergeCell ref="AK54:AO54"/>
    <mergeCell ref="AP54:AT54"/>
    <mergeCell ref="B55:F55"/>
    <mergeCell ref="G55:K55"/>
    <mergeCell ref="L55:P55"/>
    <mergeCell ref="Q55:U55"/>
    <mergeCell ref="V55:Z55"/>
    <mergeCell ref="AA55:AE55"/>
    <mergeCell ref="AF55:AJ55"/>
    <mergeCell ref="AK55:AO55"/>
    <mergeCell ref="AP55:AT55"/>
    <mergeCell ref="AX55:AY55"/>
    <mergeCell ref="B56:F56"/>
    <mergeCell ref="G56:K56"/>
    <mergeCell ref="L56:P56"/>
    <mergeCell ref="Q56:U56"/>
    <mergeCell ref="V56:Z56"/>
    <mergeCell ref="AA56:AE56"/>
    <mergeCell ref="AF56:AJ56"/>
    <mergeCell ref="AK56:AO56"/>
    <mergeCell ref="AP56:AT56"/>
    <mergeCell ref="B57:F57"/>
    <mergeCell ref="G57:K57"/>
    <mergeCell ref="L57:P57"/>
    <mergeCell ref="Q57:U57"/>
    <mergeCell ref="V57:Z57"/>
    <mergeCell ref="AA57:AE57"/>
    <mergeCell ref="AF57:AJ57"/>
    <mergeCell ref="AK57:AO57"/>
    <mergeCell ref="AP57:AT57"/>
    <mergeCell ref="B58:F58"/>
    <mergeCell ref="G58:K58"/>
    <mergeCell ref="L58:P58"/>
    <mergeCell ref="Q58:U58"/>
    <mergeCell ref="V58:Z58"/>
    <mergeCell ref="AA58:AE58"/>
    <mergeCell ref="AF58:AJ58"/>
    <mergeCell ref="AK58:AO58"/>
    <mergeCell ref="AP58:AT58"/>
    <mergeCell ref="B59:F59"/>
    <mergeCell ref="G59:K59"/>
    <mergeCell ref="L59:P59"/>
    <mergeCell ref="Q59:U59"/>
    <mergeCell ref="V59:Z59"/>
    <mergeCell ref="AA59:AE59"/>
    <mergeCell ref="AF59:AJ59"/>
    <mergeCell ref="AK59:AO59"/>
    <mergeCell ref="AP59:AT59"/>
    <mergeCell ref="B60:F60"/>
    <mergeCell ref="G60:K60"/>
    <mergeCell ref="L60:P60"/>
    <mergeCell ref="Q60:U60"/>
    <mergeCell ref="V60:Z60"/>
    <mergeCell ref="AA60:AE60"/>
    <mergeCell ref="AF60:AJ60"/>
    <mergeCell ref="AK60:AO60"/>
    <mergeCell ref="AP60:AT60"/>
    <mergeCell ref="B61:F61"/>
    <mergeCell ref="G61:K61"/>
    <mergeCell ref="L61:P61"/>
    <mergeCell ref="Q61:U61"/>
    <mergeCell ref="V61:Z61"/>
    <mergeCell ref="AA61:AE61"/>
    <mergeCell ref="AF61:AJ61"/>
    <mergeCell ref="AK61:AO61"/>
    <mergeCell ref="AP61:AT61"/>
    <mergeCell ref="B62:F62"/>
    <mergeCell ref="G62:K62"/>
    <mergeCell ref="L62:P62"/>
    <mergeCell ref="Q62:U62"/>
    <mergeCell ref="V62:Z62"/>
    <mergeCell ref="AA62:AE62"/>
    <mergeCell ref="AF62:AJ62"/>
    <mergeCell ref="AK62:AO62"/>
    <mergeCell ref="AP62:AT62"/>
    <mergeCell ref="B63:F63"/>
    <mergeCell ref="G63:K63"/>
    <mergeCell ref="L63:P63"/>
    <mergeCell ref="Q63:U63"/>
    <mergeCell ref="V63:Z63"/>
    <mergeCell ref="AA63:AE63"/>
    <mergeCell ref="AF63:AJ63"/>
    <mergeCell ref="AK63:AO63"/>
    <mergeCell ref="AP63:AT63"/>
    <mergeCell ref="B64:F64"/>
    <mergeCell ref="G64:K64"/>
    <mergeCell ref="L64:P64"/>
    <mergeCell ref="Q64:U64"/>
    <mergeCell ref="V64:Z64"/>
    <mergeCell ref="AA64:AE64"/>
    <mergeCell ref="AF64:AJ64"/>
    <mergeCell ref="AK64:AO64"/>
    <mergeCell ref="AP64:AT64"/>
    <mergeCell ref="B65:F65"/>
    <mergeCell ref="G65:K65"/>
    <mergeCell ref="L65:P65"/>
    <mergeCell ref="Q65:U65"/>
    <mergeCell ref="V65:Z65"/>
    <mergeCell ref="AA65:AE65"/>
    <mergeCell ref="AF65:AJ65"/>
    <mergeCell ref="AK65:AO65"/>
    <mergeCell ref="AP65:AT65"/>
    <mergeCell ref="B66:F66"/>
    <mergeCell ref="G66:K66"/>
    <mergeCell ref="L66:P66"/>
    <mergeCell ref="Q66:U66"/>
    <mergeCell ref="V66:Z66"/>
    <mergeCell ref="AA66:AE66"/>
    <mergeCell ref="AF66:AJ66"/>
    <mergeCell ref="AK66:AO66"/>
    <mergeCell ref="AP66:AT66"/>
    <mergeCell ref="B67:F67"/>
    <mergeCell ref="G67:K67"/>
    <mergeCell ref="L67:P67"/>
    <mergeCell ref="Q67:U67"/>
    <mergeCell ref="V67:Z67"/>
    <mergeCell ref="AA67:AE67"/>
    <mergeCell ref="AF67:AJ67"/>
    <mergeCell ref="AK67:AO67"/>
    <mergeCell ref="AP67:AT67"/>
    <mergeCell ref="B68:F68"/>
    <mergeCell ref="G68:K68"/>
    <mergeCell ref="L68:P68"/>
    <mergeCell ref="Q68:U68"/>
    <mergeCell ref="V68:Z68"/>
    <mergeCell ref="AA68:AE68"/>
    <mergeCell ref="AF68:AJ68"/>
    <mergeCell ref="AK68:AO68"/>
    <mergeCell ref="AP68:AT68"/>
    <mergeCell ref="B69:F69"/>
    <mergeCell ref="G69:K69"/>
    <mergeCell ref="L69:P69"/>
    <mergeCell ref="Q69:U69"/>
    <mergeCell ref="V69:Z69"/>
    <mergeCell ref="AA69:AE69"/>
    <mergeCell ref="AF69:AJ69"/>
    <mergeCell ref="AK69:AO69"/>
    <mergeCell ref="AP69:AT69"/>
    <mergeCell ref="B70:F70"/>
    <mergeCell ref="G70:K70"/>
    <mergeCell ref="L70:P70"/>
    <mergeCell ref="Q70:U70"/>
    <mergeCell ref="V70:Z70"/>
    <mergeCell ref="AA70:AE70"/>
    <mergeCell ref="AF70:AJ70"/>
    <mergeCell ref="AK70:AO70"/>
    <mergeCell ref="AP70:AT70"/>
    <mergeCell ref="B71:F71"/>
    <mergeCell ref="G71:K71"/>
    <mergeCell ref="L71:P71"/>
    <mergeCell ref="Q71:U71"/>
    <mergeCell ref="V71:Z71"/>
    <mergeCell ref="AA71:AE71"/>
    <mergeCell ref="AF71:AJ71"/>
    <mergeCell ref="AK71:AO71"/>
    <mergeCell ref="AP71:AT71"/>
    <mergeCell ref="B72:F72"/>
    <mergeCell ref="G72:K72"/>
    <mergeCell ref="L72:P72"/>
    <mergeCell ref="Q72:U72"/>
    <mergeCell ref="V72:Z72"/>
    <mergeCell ref="AA72:AE72"/>
    <mergeCell ref="AF72:AJ72"/>
    <mergeCell ref="AK72:AO72"/>
    <mergeCell ref="AP72:AT72"/>
    <mergeCell ref="B73:F73"/>
    <mergeCell ref="G73:K73"/>
    <mergeCell ref="L73:P73"/>
    <mergeCell ref="Q73:U73"/>
    <mergeCell ref="V73:Z73"/>
    <mergeCell ref="AA73:AE73"/>
    <mergeCell ref="AF73:AJ73"/>
    <mergeCell ref="AK73:AO73"/>
    <mergeCell ref="AP73:AT73"/>
    <mergeCell ref="B74:F74"/>
    <mergeCell ref="G74:K74"/>
    <mergeCell ref="L74:P74"/>
    <mergeCell ref="Q74:U74"/>
    <mergeCell ref="V74:Z74"/>
    <mergeCell ref="AA74:AE74"/>
    <mergeCell ref="AF74:AJ74"/>
    <mergeCell ref="AK74:AO74"/>
    <mergeCell ref="AP74:AT74"/>
    <mergeCell ref="B75:F75"/>
    <mergeCell ref="G75:K75"/>
    <mergeCell ref="L75:P75"/>
    <mergeCell ref="Q75:U75"/>
    <mergeCell ref="V75:Z75"/>
    <mergeCell ref="AA75:AE75"/>
    <mergeCell ref="AF75:AJ75"/>
    <mergeCell ref="AK75:AO75"/>
    <mergeCell ref="AP75:AT75"/>
    <mergeCell ref="B76:F76"/>
    <mergeCell ref="G76:K76"/>
    <mergeCell ref="L76:P76"/>
    <mergeCell ref="Q76:U76"/>
    <mergeCell ref="V76:Z76"/>
    <mergeCell ref="AA76:AE76"/>
    <mergeCell ref="AF76:AJ76"/>
    <mergeCell ref="AK76:AO76"/>
    <mergeCell ref="AP76:AT76"/>
    <mergeCell ref="B77:F77"/>
    <mergeCell ref="G77:K77"/>
    <mergeCell ref="L77:P77"/>
    <mergeCell ref="Q77:U77"/>
    <mergeCell ref="V77:Z77"/>
    <mergeCell ref="AA77:AE77"/>
    <mergeCell ref="AF77:AJ77"/>
    <mergeCell ref="AK77:AO77"/>
    <mergeCell ref="AP77:AT77"/>
    <mergeCell ref="B78:F78"/>
    <mergeCell ref="G78:K78"/>
    <mergeCell ref="L78:P78"/>
    <mergeCell ref="Q78:U78"/>
    <mergeCell ref="V78:Z78"/>
    <mergeCell ref="AA78:AE78"/>
    <mergeCell ref="AF78:AJ78"/>
    <mergeCell ref="AK78:AO78"/>
    <mergeCell ref="AP78:AT78"/>
    <mergeCell ref="B79:F79"/>
    <mergeCell ref="G79:K79"/>
    <mergeCell ref="L79:P79"/>
    <mergeCell ref="Q79:U79"/>
    <mergeCell ref="V79:Z79"/>
    <mergeCell ref="AA79:AE79"/>
    <mergeCell ref="AF79:AJ79"/>
    <mergeCell ref="AK79:AO79"/>
    <mergeCell ref="AP79:AT79"/>
    <mergeCell ref="B80:F80"/>
    <mergeCell ref="G80:K80"/>
    <mergeCell ref="L80:P80"/>
    <mergeCell ref="Q80:U80"/>
    <mergeCell ref="V80:Z80"/>
    <mergeCell ref="AA80:AE80"/>
    <mergeCell ref="AF80:AJ80"/>
    <mergeCell ref="AK80:AO80"/>
    <mergeCell ref="AP80:AT80"/>
    <mergeCell ref="B81:F81"/>
    <mergeCell ref="G81:K81"/>
    <mergeCell ref="L81:P81"/>
    <mergeCell ref="Q81:U81"/>
    <mergeCell ref="V81:Z81"/>
    <mergeCell ref="AA81:AE81"/>
    <mergeCell ref="AF81:AJ81"/>
    <mergeCell ref="AK81:AO81"/>
    <mergeCell ref="AP81:AT81"/>
    <mergeCell ref="B82:F82"/>
    <mergeCell ref="G82:K82"/>
    <mergeCell ref="L82:P82"/>
    <mergeCell ref="Q82:U82"/>
    <mergeCell ref="V82:Z82"/>
    <mergeCell ref="AA82:AE82"/>
    <mergeCell ref="AF82:AJ82"/>
    <mergeCell ref="AK82:AO82"/>
    <mergeCell ref="AP82:AT82"/>
    <mergeCell ref="B83:F83"/>
    <mergeCell ref="G83:K83"/>
    <mergeCell ref="L83:P83"/>
    <mergeCell ref="Q83:U83"/>
    <mergeCell ref="V83:Z83"/>
    <mergeCell ref="AA83:AE83"/>
    <mergeCell ref="AF83:AJ83"/>
    <mergeCell ref="AK83:AO83"/>
    <mergeCell ref="AP83:AT83"/>
    <mergeCell ref="B84:F84"/>
    <mergeCell ref="G84:K84"/>
    <mergeCell ref="L84:P84"/>
    <mergeCell ref="Q84:U84"/>
    <mergeCell ref="V84:Z84"/>
    <mergeCell ref="AA84:AE84"/>
    <mergeCell ref="AF84:AJ84"/>
    <mergeCell ref="AK84:AO84"/>
    <mergeCell ref="AP84:AT84"/>
    <mergeCell ref="B85:F85"/>
    <mergeCell ref="G85:K85"/>
    <mergeCell ref="L85:P85"/>
    <mergeCell ref="Q85:U85"/>
    <mergeCell ref="V85:Z85"/>
    <mergeCell ref="AA85:AE85"/>
    <mergeCell ref="AF85:AJ85"/>
    <mergeCell ref="AK85:AO85"/>
    <mergeCell ref="AP85:AT85"/>
    <mergeCell ref="B86:F86"/>
    <mergeCell ref="G86:K86"/>
    <mergeCell ref="L86:P86"/>
    <mergeCell ref="Q86:U86"/>
    <mergeCell ref="V86:Z86"/>
    <mergeCell ref="AA86:AE86"/>
    <mergeCell ref="AF86:AJ86"/>
    <mergeCell ref="AK86:AO86"/>
    <mergeCell ref="AP86:AT86"/>
    <mergeCell ref="B87:F87"/>
    <mergeCell ref="G87:K87"/>
    <mergeCell ref="L87:P87"/>
    <mergeCell ref="Q87:U87"/>
    <mergeCell ref="V87:Z87"/>
    <mergeCell ref="AA87:AE87"/>
    <mergeCell ref="AF87:AJ87"/>
    <mergeCell ref="AK87:AO87"/>
    <mergeCell ref="AP87:AT87"/>
    <mergeCell ref="B88:F88"/>
    <mergeCell ref="G88:K88"/>
    <mergeCell ref="L88:P88"/>
    <mergeCell ref="Q88:U88"/>
    <mergeCell ref="V88:Z88"/>
    <mergeCell ref="AA88:AE88"/>
    <mergeCell ref="AF88:AJ88"/>
    <mergeCell ref="AK88:AO88"/>
    <mergeCell ref="AP88:AT88"/>
    <mergeCell ref="B89:F89"/>
    <mergeCell ref="G89:K89"/>
    <mergeCell ref="L89:P89"/>
    <mergeCell ref="Q89:U89"/>
    <mergeCell ref="V89:Z89"/>
    <mergeCell ref="AA89:AE89"/>
    <mergeCell ref="AF89:AJ89"/>
    <mergeCell ref="AK89:AO89"/>
    <mergeCell ref="AP89:AT89"/>
    <mergeCell ref="B90:F90"/>
    <mergeCell ref="G90:K90"/>
    <mergeCell ref="L90:P90"/>
    <mergeCell ref="Q90:U90"/>
    <mergeCell ref="V90:Z90"/>
    <mergeCell ref="AA90:AE90"/>
    <mergeCell ref="AF90:AJ90"/>
    <mergeCell ref="AK90:AO90"/>
    <mergeCell ref="AP90:AT90"/>
    <mergeCell ref="B91:F91"/>
    <mergeCell ref="G91:K91"/>
    <mergeCell ref="L91:P91"/>
    <mergeCell ref="Q91:U91"/>
    <mergeCell ref="V91:Z91"/>
    <mergeCell ref="AA91:AE91"/>
    <mergeCell ref="AF91:AJ91"/>
    <mergeCell ref="AK91:AO91"/>
    <mergeCell ref="AP91:AT91"/>
    <mergeCell ref="B92:F92"/>
    <mergeCell ref="G92:K92"/>
    <mergeCell ref="L92:P92"/>
    <mergeCell ref="Q92:U92"/>
    <mergeCell ref="V92:Z92"/>
    <mergeCell ref="AA92:AE92"/>
    <mergeCell ref="AF92:AJ92"/>
    <mergeCell ref="AK92:AO92"/>
    <mergeCell ref="AP92:AT92"/>
    <mergeCell ref="B93:F93"/>
    <mergeCell ref="G93:K93"/>
    <mergeCell ref="L93:P93"/>
    <mergeCell ref="Q93:U93"/>
    <mergeCell ref="V93:Z93"/>
    <mergeCell ref="AA93:AE93"/>
    <mergeCell ref="AF93:AJ93"/>
    <mergeCell ref="AK93:AO93"/>
    <mergeCell ref="AP93:AT93"/>
    <mergeCell ref="B94:F94"/>
    <mergeCell ref="G94:K94"/>
    <mergeCell ref="L94:P94"/>
    <mergeCell ref="Q94:U94"/>
    <mergeCell ref="V94:Z94"/>
    <mergeCell ref="AA94:AE94"/>
    <mergeCell ref="AF94:AJ94"/>
    <mergeCell ref="AK94:AO94"/>
    <mergeCell ref="AP94:AT94"/>
    <mergeCell ref="B95:F95"/>
    <mergeCell ref="G95:K95"/>
    <mergeCell ref="L95:P95"/>
    <mergeCell ref="Q95:U95"/>
    <mergeCell ref="V95:Z95"/>
    <mergeCell ref="AA95:AE95"/>
    <mergeCell ref="AF95:AJ95"/>
    <mergeCell ref="AK95:AO95"/>
    <mergeCell ref="AP95:AT95"/>
    <mergeCell ref="B96:F96"/>
    <mergeCell ref="G96:K96"/>
    <mergeCell ref="L96:P96"/>
    <mergeCell ref="Q96:U96"/>
    <mergeCell ref="V96:Z96"/>
    <mergeCell ref="AA96:AE96"/>
    <mergeCell ref="AF96:AJ96"/>
    <mergeCell ref="AK96:AO96"/>
    <mergeCell ref="AP96:AT96"/>
    <mergeCell ref="B97:F97"/>
    <mergeCell ref="G97:K97"/>
    <mergeCell ref="L97:P97"/>
    <mergeCell ref="Q97:U97"/>
    <mergeCell ref="V97:Z97"/>
    <mergeCell ref="AA97:AE97"/>
    <mergeCell ref="AF97:AJ97"/>
    <mergeCell ref="AK97:AO97"/>
    <mergeCell ref="AP97:AT97"/>
    <mergeCell ref="B98:F98"/>
    <mergeCell ref="G98:K98"/>
    <mergeCell ref="L98:P98"/>
    <mergeCell ref="Q98:U98"/>
    <mergeCell ref="V98:Z98"/>
    <mergeCell ref="AA98:AE98"/>
    <mergeCell ref="AF98:AJ98"/>
    <mergeCell ref="AK98:AO98"/>
    <mergeCell ref="AP98:AT98"/>
    <mergeCell ref="B99:F99"/>
    <mergeCell ref="G99:K99"/>
    <mergeCell ref="L99:P99"/>
    <mergeCell ref="Q99:U99"/>
    <mergeCell ref="V99:Z99"/>
    <mergeCell ref="AA99:AE99"/>
    <mergeCell ref="AF99:AJ99"/>
    <mergeCell ref="AK99:AO99"/>
    <mergeCell ref="AP99:AT99"/>
    <mergeCell ref="B100:F100"/>
    <mergeCell ref="G100:K100"/>
    <mergeCell ref="L100:P100"/>
    <mergeCell ref="Q100:U100"/>
    <mergeCell ref="V100:Z100"/>
    <mergeCell ref="AA100:AE100"/>
    <mergeCell ref="AF100:AJ100"/>
    <mergeCell ref="AK100:AO100"/>
    <mergeCell ref="AP100:AT100"/>
    <mergeCell ref="B101:F101"/>
    <mergeCell ref="G101:K101"/>
    <mergeCell ref="L101:P101"/>
    <mergeCell ref="Q101:U101"/>
    <mergeCell ref="V101:Z101"/>
    <mergeCell ref="AA101:AE101"/>
    <mergeCell ref="AF101:AJ101"/>
    <mergeCell ref="AK101:AO101"/>
    <mergeCell ref="AP101:AT101"/>
    <mergeCell ref="B102:F102"/>
    <mergeCell ref="G102:K102"/>
    <mergeCell ref="L102:P102"/>
    <mergeCell ref="Q102:U102"/>
    <mergeCell ref="V102:Z102"/>
    <mergeCell ref="AA102:AE102"/>
    <mergeCell ref="AF102:AJ102"/>
    <mergeCell ref="AK102:AO102"/>
    <mergeCell ref="AP102:AT102"/>
    <mergeCell ref="B103:F103"/>
    <mergeCell ref="G103:K103"/>
    <mergeCell ref="L103:P103"/>
    <mergeCell ref="Q103:U103"/>
    <mergeCell ref="V103:Z103"/>
    <mergeCell ref="AA103:AE103"/>
    <mergeCell ref="AF103:AJ103"/>
    <mergeCell ref="AK103:AO103"/>
    <mergeCell ref="AP103:AT103"/>
    <mergeCell ref="B104:F104"/>
    <mergeCell ref="G104:K104"/>
    <mergeCell ref="L104:P104"/>
    <mergeCell ref="Q104:U104"/>
    <mergeCell ref="V104:Z104"/>
    <mergeCell ref="AA104:AE104"/>
    <mergeCell ref="AF104:AJ104"/>
    <mergeCell ref="AK104:AO104"/>
    <mergeCell ref="AP104:AT104"/>
    <mergeCell ref="B105:F105"/>
    <mergeCell ref="G105:K105"/>
    <mergeCell ref="L105:P105"/>
    <mergeCell ref="Q105:U105"/>
    <mergeCell ref="V105:Z105"/>
    <mergeCell ref="AA105:AE105"/>
    <mergeCell ref="AF105:AJ105"/>
    <mergeCell ref="AK105:AO105"/>
    <mergeCell ref="AP105:AT105"/>
    <mergeCell ref="B106:F106"/>
    <mergeCell ref="G106:K106"/>
    <mergeCell ref="L106:P106"/>
    <mergeCell ref="Q106:U106"/>
    <mergeCell ref="V106:Z106"/>
    <mergeCell ref="AA106:AE106"/>
    <mergeCell ref="AF106:AJ106"/>
    <mergeCell ref="AK106:AO106"/>
    <mergeCell ref="AP106:AT106"/>
    <mergeCell ref="B107:F107"/>
    <mergeCell ref="G107:K107"/>
    <mergeCell ref="L107:P107"/>
    <mergeCell ref="Q107:U107"/>
    <mergeCell ref="V107:Z107"/>
    <mergeCell ref="AA107:AE107"/>
    <mergeCell ref="AF107:AJ107"/>
    <mergeCell ref="AK107:AO107"/>
    <mergeCell ref="AP107:AT107"/>
    <mergeCell ref="B108:F108"/>
    <mergeCell ref="G108:K108"/>
    <mergeCell ref="L108:P108"/>
    <mergeCell ref="Q108:U108"/>
    <mergeCell ref="V108:Z108"/>
    <mergeCell ref="AA108:AE108"/>
    <mergeCell ref="AF108:AJ108"/>
    <mergeCell ref="AK108:AO108"/>
    <mergeCell ref="AP108:AT108"/>
    <mergeCell ref="B109:F109"/>
    <mergeCell ref="G109:K109"/>
    <mergeCell ref="L109:P109"/>
    <mergeCell ref="Q109:U109"/>
    <mergeCell ref="V109:Z109"/>
    <mergeCell ref="AA109:AE109"/>
    <mergeCell ref="AF109:AJ109"/>
    <mergeCell ref="AK109:AO109"/>
    <mergeCell ref="AP109:AT109"/>
    <mergeCell ref="B110:F110"/>
    <mergeCell ref="G110:K110"/>
    <mergeCell ref="L110:P110"/>
    <mergeCell ref="Q110:U110"/>
    <mergeCell ref="V110:Z110"/>
    <mergeCell ref="AA110:AE110"/>
    <mergeCell ref="AF110:AJ110"/>
    <mergeCell ref="AK110:AO110"/>
    <mergeCell ref="AP110:AT110"/>
    <mergeCell ref="B111:F111"/>
    <mergeCell ref="G111:K111"/>
    <mergeCell ref="L111:P111"/>
    <mergeCell ref="Q111:U111"/>
    <mergeCell ref="V111:Z111"/>
    <mergeCell ref="AA111:AE111"/>
    <mergeCell ref="AF111:AJ111"/>
    <mergeCell ref="AK111:AO111"/>
    <mergeCell ref="AP111:AT111"/>
    <mergeCell ref="B112:F112"/>
    <mergeCell ref="G112:K112"/>
    <mergeCell ref="L112:P112"/>
    <mergeCell ref="Q112:U112"/>
    <mergeCell ref="V112:Z112"/>
    <mergeCell ref="AA112:AE112"/>
    <mergeCell ref="AF112:AJ112"/>
    <mergeCell ref="AK112:AO112"/>
    <mergeCell ref="AP112:AT112"/>
    <mergeCell ref="B113:F113"/>
    <mergeCell ref="G113:K113"/>
    <mergeCell ref="L113:P113"/>
    <mergeCell ref="Q113:U113"/>
    <mergeCell ref="V113:Z113"/>
    <mergeCell ref="AA113:AE113"/>
    <mergeCell ref="AF113:AJ113"/>
    <mergeCell ref="AK113:AO113"/>
    <mergeCell ref="AP113:AT113"/>
    <mergeCell ref="B114:F114"/>
    <mergeCell ref="G114:K114"/>
    <mergeCell ref="L114:P114"/>
    <mergeCell ref="Q114:U114"/>
    <mergeCell ref="V114:Z114"/>
    <mergeCell ref="AA114:AE114"/>
    <mergeCell ref="AF114:AJ114"/>
    <mergeCell ref="AK114:AO114"/>
    <mergeCell ref="AP114:AT114"/>
    <mergeCell ref="B115:F115"/>
    <mergeCell ref="G115:K115"/>
    <mergeCell ref="L115:P115"/>
    <mergeCell ref="Q115:U115"/>
    <mergeCell ref="V115:Z115"/>
    <mergeCell ref="AA115:AE115"/>
    <mergeCell ref="AF115:AJ115"/>
    <mergeCell ref="AK115:AO115"/>
    <mergeCell ref="AP115:AT115"/>
    <mergeCell ref="B116:F116"/>
    <mergeCell ref="G116:K116"/>
    <mergeCell ref="L116:P116"/>
    <mergeCell ref="Q116:U116"/>
    <mergeCell ref="V116:Z116"/>
    <mergeCell ref="AA116:AE116"/>
    <mergeCell ref="AF116:AJ116"/>
    <mergeCell ref="AK116:AO116"/>
    <mergeCell ref="AP116:AT116"/>
    <mergeCell ref="B117:F117"/>
    <mergeCell ref="G117:K117"/>
    <mergeCell ref="L117:P117"/>
    <mergeCell ref="Q117:U117"/>
    <mergeCell ref="V117:Z117"/>
    <mergeCell ref="AA117:AE117"/>
    <mergeCell ref="AF117:AJ117"/>
    <mergeCell ref="AK117:AO117"/>
    <mergeCell ref="AP117:AT117"/>
    <mergeCell ref="B118:F118"/>
    <mergeCell ref="G118:K118"/>
    <mergeCell ref="L118:P118"/>
    <mergeCell ref="Q118:U118"/>
    <mergeCell ref="V118:Z118"/>
    <mergeCell ref="AA118:AE118"/>
    <mergeCell ref="AF118:AJ118"/>
    <mergeCell ref="AK118:AO118"/>
    <mergeCell ref="AP118:AT118"/>
    <mergeCell ref="B119:F119"/>
    <mergeCell ref="G119:K119"/>
    <mergeCell ref="L119:P119"/>
    <mergeCell ref="Q119:U119"/>
    <mergeCell ref="V119:Z119"/>
    <mergeCell ref="AA119:AE119"/>
    <mergeCell ref="AF119:AJ119"/>
    <mergeCell ref="AK119:AO119"/>
    <mergeCell ref="AP119:AT119"/>
    <mergeCell ref="B120:F120"/>
    <mergeCell ref="G120:K120"/>
    <mergeCell ref="L120:P120"/>
    <mergeCell ref="Q120:U120"/>
    <mergeCell ref="V120:Z120"/>
    <mergeCell ref="AA120:AE120"/>
    <mergeCell ref="AF120:AJ120"/>
    <mergeCell ref="AK120:AO120"/>
    <mergeCell ref="AP120:AT120"/>
    <mergeCell ref="B121:F121"/>
    <mergeCell ref="G121:K121"/>
    <mergeCell ref="L121:P121"/>
    <mergeCell ref="Q121:U121"/>
    <mergeCell ref="V121:Z121"/>
    <mergeCell ref="AA121:AE121"/>
    <mergeCell ref="AF121:AJ121"/>
    <mergeCell ref="AK121:AO121"/>
    <mergeCell ref="AP121:AT121"/>
    <mergeCell ref="B122:F122"/>
    <mergeCell ref="G122:K122"/>
    <mergeCell ref="L122:P122"/>
    <mergeCell ref="Q122:U122"/>
    <mergeCell ref="V122:Z122"/>
    <mergeCell ref="AA122:AE122"/>
    <mergeCell ref="AF122:AJ122"/>
    <mergeCell ref="AK122:AO122"/>
    <mergeCell ref="AP122:AT122"/>
    <mergeCell ref="B123:F123"/>
    <mergeCell ref="G123:K123"/>
    <mergeCell ref="L123:P123"/>
    <mergeCell ref="Q123:U123"/>
    <mergeCell ref="V123:Z123"/>
    <mergeCell ref="AA123:AE123"/>
    <mergeCell ref="AF123:AJ123"/>
    <mergeCell ref="AK123:AO123"/>
    <mergeCell ref="AP123:AT123"/>
    <mergeCell ref="B124:F124"/>
    <mergeCell ref="G124:K124"/>
    <mergeCell ref="L124:P124"/>
    <mergeCell ref="Q124:U124"/>
    <mergeCell ref="V124:Z124"/>
    <mergeCell ref="AA124:AE124"/>
    <mergeCell ref="AF124:AJ124"/>
    <mergeCell ref="AK124:AO124"/>
    <mergeCell ref="AP124:AT124"/>
    <mergeCell ref="B125:F125"/>
    <mergeCell ref="G125:K125"/>
    <mergeCell ref="L125:P125"/>
    <mergeCell ref="Q125:U125"/>
    <mergeCell ref="V125:Z125"/>
    <mergeCell ref="AA125:AE125"/>
    <mergeCell ref="AF125:AJ125"/>
    <mergeCell ref="AK125:AO125"/>
    <mergeCell ref="AP125:AT125"/>
    <mergeCell ref="B126:F126"/>
    <mergeCell ref="G126:K126"/>
    <mergeCell ref="L126:P126"/>
    <mergeCell ref="Q126:U126"/>
    <mergeCell ref="V126:Z126"/>
    <mergeCell ref="AA126:AE126"/>
    <mergeCell ref="AF126:AJ126"/>
    <mergeCell ref="AK126:AO126"/>
    <mergeCell ref="AP126:AT126"/>
    <mergeCell ref="B127:F127"/>
    <mergeCell ref="G127:K127"/>
    <mergeCell ref="L127:P127"/>
    <mergeCell ref="Q127:U127"/>
    <mergeCell ref="V127:Z127"/>
    <mergeCell ref="AA127:AE127"/>
    <mergeCell ref="AF127:AJ127"/>
    <mergeCell ref="AK127:AO127"/>
    <mergeCell ref="AP127:AT127"/>
    <mergeCell ref="B128:F128"/>
    <mergeCell ref="G128:K128"/>
    <mergeCell ref="L128:P128"/>
    <mergeCell ref="Q128:U128"/>
    <mergeCell ref="V128:Z128"/>
    <mergeCell ref="AA128:AE128"/>
    <mergeCell ref="AF128:AJ128"/>
    <mergeCell ref="AK128:AO128"/>
    <mergeCell ref="AP128:AT128"/>
    <mergeCell ref="B129:F129"/>
    <mergeCell ref="G129:K129"/>
    <mergeCell ref="L129:P129"/>
    <mergeCell ref="Q129:U129"/>
    <mergeCell ref="V129:Z129"/>
    <mergeCell ref="AA129:AE129"/>
    <mergeCell ref="AF129:AJ129"/>
    <mergeCell ref="AK129:AO129"/>
    <mergeCell ref="AP129:AT129"/>
    <mergeCell ref="B130:F130"/>
    <mergeCell ref="G130:K130"/>
    <mergeCell ref="L130:P130"/>
    <mergeCell ref="Q130:U130"/>
    <mergeCell ref="V130:Z130"/>
    <mergeCell ref="AA130:AE130"/>
    <mergeCell ref="AF130:AJ130"/>
    <mergeCell ref="AK130:AO130"/>
    <mergeCell ref="AP130:AT130"/>
    <mergeCell ref="B131:F131"/>
    <mergeCell ref="G131:K131"/>
    <mergeCell ref="L131:P131"/>
    <mergeCell ref="Q131:U131"/>
    <mergeCell ref="V131:Z131"/>
    <mergeCell ref="AA131:AE131"/>
    <mergeCell ref="AF131:AJ131"/>
    <mergeCell ref="AK131:AO131"/>
    <mergeCell ref="AP131:AT131"/>
    <mergeCell ref="B132:F132"/>
    <mergeCell ref="G132:K132"/>
    <mergeCell ref="L132:P132"/>
    <mergeCell ref="Q132:U132"/>
    <mergeCell ref="V132:Z132"/>
    <mergeCell ref="AA132:AE132"/>
    <mergeCell ref="AF132:AJ132"/>
    <mergeCell ref="AK132:AO132"/>
    <mergeCell ref="AP132:AT132"/>
    <mergeCell ref="B133:F133"/>
    <mergeCell ref="G133:K133"/>
    <mergeCell ref="L133:P133"/>
    <mergeCell ref="Q133:U133"/>
    <mergeCell ref="V133:Z133"/>
    <mergeCell ref="AA133:AE133"/>
    <mergeCell ref="AF133:AJ133"/>
    <mergeCell ref="AK133:AO133"/>
    <mergeCell ref="AP133:AT133"/>
    <mergeCell ref="B134:F134"/>
    <mergeCell ref="G134:K134"/>
    <mergeCell ref="L134:P134"/>
    <mergeCell ref="Q134:U134"/>
    <mergeCell ref="V134:Z134"/>
    <mergeCell ref="AA134:AE134"/>
    <mergeCell ref="AF134:AJ134"/>
    <mergeCell ref="AK134:AO134"/>
    <mergeCell ref="AP134:AT134"/>
    <mergeCell ref="B135:F135"/>
    <mergeCell ref="G135:K135"/>
    <mergeCell ref="L135:P135"/>
    <mergeCell ref="Q135:U135"/>
    <mergeCell ref="V135:Z135"/>
    <mergeCell ref="AA135:AE135"/>
    <mergeCell ref="AF135:AJ135"/>
    <mergeCell ref="AK135:AO135"/>
    <mergeCell ref="AP135:AT135"/>
    <mergeCell ref="B136:F136"/>
    <mergeCell ref="G136:K136"/>
    <mergeCell ref="L136:P136"/>
    <mergeCell ref="Q136:U136"/>
    <mergeCell ref="V136:Z136"/>
    <mergeCell ref="AA136:AE136"/>
    <mergeCell ref="AF136:AJ136"/>
    <mergeCell ref="AK136:AO136"/>
    <mergeCell ref="AP136:AT136"/>
    <mergeCell ref="B137:F137"/>
    <mergeCell ref="G137:K137"/>
    <mergeCell ref="L137:P137"/>
    <mergeCell ref="Q137:U137"/>
    <mergeCell ref="V137:Z137"/>
    <mergeCell ref="AA137:AE137"/>
    <mergeCell ref="AF137:AJ137"/>
    <mergeCell ref="AK137:AO137"/>
    <mergeCell ref="AP137:AT137"/>
    <mergeCell ref="B138:F138"/>
    <mergeCell ref="G138:K138"/>
    <mergeCell ref="L138:P138"/>
    <mergeCell ref="Q138:U138"/>
    <mergeCell ref="V138:Z138"/>
    <mergeCell ref="AA138:AE138"/>
    <mergeCell ref="AF138:AJ138"/>
    <mergeCell ref="AK138:AO138"/>
    <mergeCell ref="AP138:AT138"/>
    <mergeCell ref="B139:F139"/>
    <mergeCell ref="G139:K139"/>
    <mergeCell ref="L139:P139"/>
    <mergeCell ref="Q139:U139"/>
    <mergeCell ref="V139:Z139"/>
    <mergeCell ref="AA139:AE139"/>
    <mergeCell ref="AF139:AJ139"/>
    <mergeCell ref="AK139:AO139"/>
    <mergeCell ref="AP139:AT139"/>
    <mergeCell ref="B140:F140"/>
    <mergeCell ref="G140:K140"/>
    <mergeCell ref="L140:P140"/>
    <mergeCell ref="Q140:U140"/>
    <mergeCell ref="V140:Z140"/>
    <mergeCell ref="AA140:AE140"/>
    <mergeCell ref="AF140:AJ140"/>
    <mergeCell ref="AK140:AO140"/>
    <mergeCell ref="AP140:AT140"/>
    <mergeCell ref="B141:F141"/>
    <mergeCell ref="G141:K141"/>
    <mergeCell ref="L141:P141"/>
    <mergeCell ref="Q141:U141"/>
    <mergeCell ref="V141:Z141"/>
    <mergeCell ref="AA141:AE141"/>
    <mergeCell ref="AF141:AJ141"/>
    <mergeCell ref="AK141:AO141"/>
    <mergeCell ref="AP141:AT141"/>
    <mergeCell ref="B142:F142"/>
    <mergeCell ref="G142:K142"/>
    <mergeCell ref="L142:P142"/>
    <mergeCell ref="Q142:U142"/>
    <mergeCell ref="V142:Z142"/>
    <mergeCell ref="AA142:AE142"/>
    <mergeCell ref="AF142:AJ142"/>
    <mergeCell ref="AK142:AO142"/>
    <mergeCell ref="AP142:AT142"/>
    <mergeCell ref="B143:F143"/>
    <mergeCell ref="G143:K143"/>
    <mergeCell ref="L143:P143"/>
    <mergeCell ref="Q143:U143"/>
    <mergeCell ref="V143:Z143"/>
    <mergeCell ref="AA143:AE143"/>
    <mergeCell ref="AF143:AJ143"/>
    <mergeCell ref="AK143:AO143"/>
    <mergeCell ref="AP143:AT143"/>
    <mergeCell ref="B144:F144"/>
    <mergeCell ref="G144:K144"/>
    <mergeCell ref="L144:P144"/>
    <mergeCell ref="Q144:U144"/>
    <mergeCell ref="V144:Z144"/>
    <mergeCell ref="AA144:AE144"/>
    <mergeCell ref="AF144:AJ144"/>
    <mergeCell ref="AK144:AO144"/>
    <mergeCell ref="AP144:AT144"/>
    <mergeCell ref="B145:F145"/>
    <mergeCell ref="G145:K145"/>
    <mergeCell ref="L145:P145"/>
    <mergeCell ref="Q145:U145"/>
    <mergeCell ref="V145:Z145"/>
    <mergeCell ref="AA145:AE145"/>
    <mergeCell ref="AF145:AJ145"/>
    <mergeCell ref="AK145:AO145"/>
    <mergeCell ref="AP145:AT145"/>
    <mergeCell ref="B146:F146"/>
    <mergeCell ref="G146:K146"/>
    <mergeCell ref="L146:P146"/>
    <mergeCell ref="Q146:U146"/>
    <mergeCell ref="V146:Z146"/>
    <mergeCell ref="AA146:AE146"/>
    <mergeCell ref="AF146:AJ146"/>
    <mergeCell ref="AK146:AO146"/>
    <mergeCell ref="AP146:AT146"/>
    <mergeCell ref="B147:F147"/>
    <mergeCell ref="G147:K147"/>
    <mergeCell ref="L147:P147"/>
    <mergeCell ref="Q147:U147"/>
    <mergeCell ref="V147:Z147"/>
    <mergeCell ref="AA147:AE147"/>
    <mergeCell ref="AF147:AJ147"/>
    <mergeCell ref="AK147:AO147"/>
    <mergeCell ref="AP147:AT147"/>
    <mergeCell ref="B148:F148"/>
    <mergeCell ref="G148:K148"/>
    <mergeCell ref="L148:P148"/>
    <mergeCell ref="Q148:U148"/>
    <mergeCell ref="V148:Z148"/>
    <mergeCell ref="AA148:AE148"/>
    <mergeCell ref="AF148:AJ148"/>
    <mergeCell ref="AK148:AO148"/>
    <mergeCell ref="AP148:AT148"/>
    <mergeCell ref="B149:F149"/>
    <mergeCell ref="G149:K149"/>
    <mergeCell ref="L149:P149"/>
    <mergeCell ref="Q149:U149"/>
    <mergeCell ref="V149:Z149"/>
    <mergeCell ref="AA149:AE149"/>
    <mergeCell ref="AF149:AJ149"/>
    <mergeCell ref="AK149:AO149"/>
    <mergeCell ref="AP149:AT149"/>
    <mergeCell ref="B150:F150"/>
    <mergeCell ref="G150:K150"/>
    <mergeCell ref="L150:P150"/>
    <mergeCell ref="Q150:U150"/>
    <mergeCell ref="V150:Z150"/>
    <mergeCell ref="AA150:AE150"/>
    <mergeCell ref="AF150:AJ150"/>
    <mergeCell ref="AK150:AO150"/>
    <mergeCell ref="AP150:AT150"/>
    <mergeCell ref="B151:F151"/>
    <mergeCell ref="G151:K151"/>
    <mergeCell ref="L151:P151"/>
    <mergeCell ref="Q151:U151"/>
    <mergeCell ref="V151:Z151"/>
    <mergeCell ref="AA151:AE151"/>
    <mergeCell ref="AF151:AJ151"/>
    <mergeCell ref="AK151:AO151"/>
    <mergeCell ref="AP151:AT151"/>
    <mergeCell ref="B152:F152"/>
    <mergeCell ref="G152:K152"/>
    <mergeCell ref="L152:P152"/>
    <mergeCell ref="Q152:U152"/>
    <mergeCell ref="V152:Z152"/>
    <mergeCell ref="AA152:AE152"/>
    <mergeCell ref="AF152:AJ152"/>
    <mergeCell ref="AK152:AO152"/>
    <mergeCell ref="AP152:AT152"/>
    <mergeCell ref="B153:F153"/>
    <mergeCell ref="G153:K153"/>
    <mergeCell ref="L153:P153"/>
    <mergeCell ref="Q153:U153"/>
    <mergeCell ref="V153:Z153"/>
    <mergeCell ref="AA153:AE153"/>
    <mergeCell ref="AF153:AJ153"/>
    <mergeCell ref="AK153:AO153"/>
    <mergeCell ref="AP153:AT153"/>
    <mergeCell ref="B154:F154"/>
    <mergeCell ref="G154:K154"/>
    <mergeCell ref="L154:P154"/>
    <mergeCell ref="Q154:U154"/>
    <mergeCell ref="V154:Z154"/>
    <mergeCell ref="AA154:AE154"/>
    <mergeCell ref="AF154:AJ154"/>
    <mergeCell ref="AK154:AO154"/>
    <mergeCell ref="AP154:AT154"/>
    <mergeCell ref="B155:F155"/>
    <mergeCell ref="G155:K155"/>
    <mergeCell ref="L155:P155"/>
    <mergeCell ref="Q155:U155"/>
    <mergeCell ref="V155:Z155"/>
    <mergeCell ref="AA155:AE155"/>
    <mergeCell ref="AF155:AJ155"/>
    <mergeCell ref="AK155:AO155"/>
    <mergeCell ref="AP155:AT155"/>
    <mergeCell ref="B156:F156"/>
    <mergeCell ref="G156:K156"/>
    <mergeCell ref="L156:P156"/>
    <mergeCell ref="Q156:U156"/>
    <mergeCell ref="V156:Z156"/>
    <mergeCell ref="AA156:AE156"/>
    <mergeCell ref="AF156:AJ156"/>
    <mergeCell ref="AK156:AO156"/>
    <mergeCell ref="AP156:AT156"/>
    <mergeCell ref="B157:F157"/>
    <mergeCell ref="G157:K157"/>
    <mergeCell ref="L157:P157"/>
    <mergeCell ref="Q157:U157"/>
    <mergeCell ref="V157:Z157"/>
    <mergeCell ref="AA157:AE157"/>
    <mergeCell ref="AF157:AJ157"/>
    <mergeCell ref="AK157:AO157"/>
    <mergeCell ref="AP157:AT157"/>
    <mergeCell ref="B158:F158"/>
    <mergeCell ref="G158:K158"/>
    <mergeCell ref="L158:P158"/>
    <mergeCell ref="Q158:U158"/>
    <mergeCell ref="V158:Z158"/>
    <mergeCell ref="AA158:AE158"/>
    <mergeCell ref="AF158:AJ158"/>
    <mergeCell ref="AK158:AO158"/>
    <mergeCell ref="AP158:AT158"/>
    <mergeCell ref="B159:F159"/>
    <mergeCell ref="G159:K159"/>
    <mergeCell ref="L159:P159"/>
    <mergeCell ref="Q159:U159"/>
    <mergeCell ref="V159:Z159"/>
    <mergeCell ref="AA159:AE159"/>
    <mergeCell ref="AF159:AJ159"/>
    <mergeCell ref="AK159:AO159"/>
    <mergeCell ref="AP159:AT159"/>
    <mergeCell ref="B160:F160"/>
    <mergeCell ref="G160:K160"/>
    <mergeCell ref="L160:P160"/>
    <mergeCell ref="Q160:U160"/>
    <mergeCell ref="V160:Z160"/>
    <mergeCell ref="AA160:AE160"/>
    <mergeCell ref="AF160:AJ160"/>
    <mergeCell ref="AK160:AO160"/>
    <mergeCell ref="AP160:AT160"/>
    <mergeCell ref="B161:F161"/>
    <mergeCell ref="G161:K161"/>
    <mergeCell ref="L161:P161"/>
    <mergeCell ref="Q161:U161"/>
    <mergeCell ref="V161:Z161"/>
    <mergeCell ref="AA161:AE161"/>
    <mergeCell ref="AF161:AJ161"/>
    <mergeCell ref="AK161:AO161"/>
    <mergeCell ref="AP161:AT161"/>
    <mergeCell ref="B162:F162"/>
    <mergeCell ref="G162:K162"/>
    <mergeCell ref="L162:P162"/>
    <mergeCell ref="Q162:U162"/>
    <mergeCell ref="V162:Z162"/>
    <mergeCell ref="AA162:AE162"/>
    <mergeCell ref="AF162:AJ162"/>
    <mergeCell ref="AK162:AO162"/>
    <mergeCell ref="AP162:AT162"/>
    <mergeCell ref="B165:F165"/>
    <mergeCell ref="G165:K165"/>
    <mergeCell ref="L165:P165"/>
    <mergeCell ref="Q165:U165"/>
    <mergeCell ref="V165:Z165"/>
    <mergeCell ref="AA165:AE165"/>
    <mergeCell ref="AF165:AJ165"/>
    <mergeCell ref="AK165:AO165"/>
    <mergeCell ref="AP165:AT165"/>
    <mergeCell ref="B163:F163"/>
    <mergeCell ref="G163:K163"/>
    <mergeCell ref="L163:P163"/>
    <mergeCell ref="Q163:U163"/>
    <mergeCell ref="V163:Z163"/>
    <mergeCell ref="AA163:AE163"/>
    <mergeCell ref="AF163:AJ163"/>
    <mergeCell ref="AK163:AO163"/>
    <mergeCell ref="AP163:AT163"/>
    <mergeCell ref="B164:F164"/>
    <mergeCell ref="G164:K164"/>
    <mergeCell ref="L164:P164"/>
    <mergeCell ref="Q164:U164"/>
    <mergeCell ref="V164:Z164"/>
    <mergeCell ref="AA164:AE164"/>
    <mergeCell ref="AF164:AJ164"/>
    <mergeCell ref="AK164:AO164"/>
    <mergeCell ref="AP164:AT164"/>
  </mergeCells>
  <phoneticPr fontId="45" type="noConversion"/>
  <pageMargins left="0.7" right="0.7" top="0.75" bottom="0.75" header="0.51180555555555496" footer="0.51180555555555496"/>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AMK299"/>
  <sheetViews>
    <sheetView tabSelected="1" topLeftCell="A19" zoomScale="85" zoomScaleNormal="85" workbookViewId="0">
      <pane ySplit="1" topLeftCell="A269" activePane="bottomLeft" state="frozen"/>
      <selection activeCell="A19" sqref="A19"/>
      <selection pane="bottomLeft" activeCell="F287" sqref="F287"/>
    </sheetView>
  </sheetViews>
  <sheetFormatPr defaultColWidth="9" defaultRowHeight="16.5" x14ac:dyDescent="0.3"/>
  <cols>
    <col min="1" max="1" width="3.375" style="87" customWidth="1"/>
    <col min="2" max="2" width="12.375" style="87" customWidth="1"/>
    <col min="3" max="3" width="23.375" style="87" customWidth="1"/>
    <col min="4" max="5" width="20.625" style="87" customWidth="1"/>
    <col min="6" max="6" width="40.625" style="87" bestFit="1" customWidth="1"/>
    <col min="7" max="8" width="20.625" style="87" customWidth="1"/>
    <col min="9" max="9" width="31.875" style="87" bestFit="1" customWidth="1"/>
    <col min="10" max="11" width="20.625" style="87" customWidth="1"/>
    <col min="12" max="12" width="30.75" style="87" customWidth="1"/>
    <col min="13" max="17" width="20.625" style="87" customWidth="1"/>
    <col min="18" max="18" width="21.625" style="87" customWidth="1"/>
    <col min="19" max="24" width="20.625" style="87" customWidth="1"/>
    <col min="25" max="1025" width="9" style="87" customWidth="1"/>
    <col min="1026" max="16384" width="9" style="89"/>
  </cols>
  <sheetData>
    <row r="2" spans="2:16" s="88" customFormat="1" ht="30" customHeight="1" x14ac:dyDescent="0.3">
      <c r="B2" s="194"/>
      <c r="C2" s="181"/>
      <c r="D2" s="181"/>
      <c r="E2" s="182" t="s">
        <v>1</v>
      </c>
      <c r="F2" s="182"/>
      <c r="G2" s="182"/>
      <c r="H2" s="182"/>
      <c r="I2" s="182"/>
      <c r="J2" s="182"/>
      <c r="K2" s="182"/>
      <c r="L2" s="183" t="s">
        <v>2</v>
      </c>
      <c r="M2" s="183"/>
      <c r="N2" s="184" t="str">
        <f>'00_팀프로젝트_큰틀'!P2</f>
        <v>홍길순</v>
      </c>
      <c r="O2" s="184"/>
      <c r="P2" s="184"/>
    </row>
    <row r="3" spans="2:16" s="88" customFormat="1" ht="30" customHeight="1" x14ac:dyDescent="0.3">
      <c r="B3" s="195"/>
      <c r="C3" s="185"/>
      <c r="D3" s="185"/>
      <c r="E3" s="186" t="s">
        <v>1903</v>
      </c>
      <c r="F3" s="186"/>
      <c r="G3" s="186"/>
      <c r="H3" s="186"/>
      <c r="I3" s="186"/>
      <c r="J3" s="186"/>
      <c r="K3" s="186"/>
      <c r="L3" s="187" t="s">
        <v>6</v>
      </c>
      <c r="M3" s="187"/>
      <c r="N3" s="188">
        <v>4486</v>
      </c>
      <c r="O3" s="188"/>
      <c r="P3" s="188"/>
    </row>
    <row r="4" spans="2:16" s="88" customFormat="1" ht="30" customHeight="1" x14ac:dyDescent="0.3">
      <c r="B4" s="196"/>
      <c r="C4" s="189"/>
      <c r="D4" s="189"/>
      <c r="E4" s="189"/>
      <c r="F4" s="189"/>
      <c r="G4" s="189"/>
      <c r="H4" s="189"/>
      <c r="I4" s="189"/>
      <c r="J4" s="189"/>
      <c r="K4" s="189"/>
      <c r="L4" s="189"/>
      <c r="M4" s="189"/>
      <c r="N4" s="189"/>
      <c r="O4" s="189"/>
      <c r="P4" s="189"/>
    </row>
    <row r="5" spans="2:16" s="88" customFormat="1" ht="30" customHeight="1" x14ac:dyDescent="0.3">
      <c r="B5" s="190"/>
      <c r="C5" s="190"/>
      <c r="D5" s="190"/>
      <c r="E5" s="190"/>
      <c r="F5" s="190"/>
      <c r="G5" s="190"/>
      <c r="H5" s="190"/>
      <c r="I5" s="190"/>
      <c r="J5" s="190"/>
      <c r="K5" s="190"/>
      <c r="L5" s="190"/>
      <c r="M5" s="190"/>
      <c r="N5" s="190"/>
      <c r="O5" s="190"/>
      <c r="P5" s="190"/>
    </row>
    <row r="6" spans="2:16" s="88" customFormat="1" ht="30" customHeight="1" x14ac:dyDescent="0.3">
      <c r="B6" s="190"/>
      <c r="C6" s="190"/>
      <c r="D6" s="190"/>
      <c r="E6" s="190"/>
      <c r="F6" s="190"/>
      <c r="G6" s="190"/>
      <c r="H6" s="190"/>
      <c r="I6" s="190"/>
      <c r="J6" s="190"/>
      <c r="K6" s="190"/>
      <c r="L6" s="190"/>
      <c r="M6" s="190"/>
      <c r="N6" s="190"/>
      <c r="O6" s="190"/>
      <c r="P6" s="190"/>
    </row>
    <row r="7" spans="2:16" s="88" customFormat="1" ht="30" customHeight="1" x14ac:dyDescent="0.3">
      <c r="B7" s="190"/>
      <c r="C7" s="190"/>
      <c r="D7" s="190"/>
      <c r="E7" s="190"/>
      <c r="F7" s="190"/>
      <c r="G7" s="190"/>
      <c r="H7" s="190"/>
      <c r="I7" s="190"/>
      <c r="J7" s="190"/>
      <c r="K7" s="190"/>
      <c r="L7" s="190"/>
      <c r="M7" s="190"/>
      <c r="N7" s="190"/>
      <c r="O7" s="190"/>
      <c r="P7" s="190"/>
    </row>
    <row r="8" spans="2:16" s="88" customFormat="1" ht="30" customHeight="1" x14ac:dyDescent="0.3">
      <c r="B8" s="190"/>
      <c r="C8" s="190"/>
      <c r="D8" s="190"/>
      <c r="E8" s="190"/>
      <c r="F8" s="190"/>
      <c r="G8" s="190"/>
      <c r="H8" s="190"/>
      <c r="I8" s="190"/>
      <c r="J8" s="190"/>
      <c r="K8" s="190"/>
      <c r="L8" s="190"/>
      <c r="M8" s="190"/>
      <c r="N8" s="190"/>
      <c r="O8" s="190"/>
      <c r="P8" s="190"/>
    </row>
    <row r="9" spans="2:16" s="88" customFormat="1" ht="30" customHeight="1" x14ac:dyDescent="0.3">
      <c r="B9" s="190"/>
      <c r="C9" s="190"/>
      <c r="D9" s="190"/>
      <c r="E9" s="190"/>
      <c r="F9" s="190"/>
      <c r="G9" s="190"/>
      <c r="H9" s="190"/>
      <c r="I9" s="190"/>
      <c r="J9" s="190"/>
      <c r="K9" s="190"/>
      <c r="L9" s="190"/>
      <c r="M9" s="190"/>
      <c r="N9" s="190"/>
      <c r="O9" s="190"/>
      <c r="P9" s="190"/>
    </row>
    <row r="10" spans="2:16" ht="24.95" customHeight="1" x14ac:dyDescent="0.3"/>
    <row r="11" spans="2:16" ht="20.100000000000001" customHeight="1" x14ac:dyDescent="0.3">
      <c r="B11" s="197"/>
      <c r="C11" s="191"/>
      <c r="D11" s="191"/>
      <c r="E11" s="191"/>
      <c r="F11" s="191"/>
      <c r="G11" s="191"/>
      <c r="H11" s="191"/>
      <c r="I11" s="191"/>
      <c r="J11" s="191"/>
      <c r="K11" s="191"/>
      <c r="L11" s="191"/>
      <c r="M11" s="191"/>
      <c r="N11" s="191"/>
      <c r="O11" s="191"/>
      <c r="P11" s="191"/>
    </row>
    <row r="12" spans="2:16" ht="20.100000000000001" customHeight="1" x14ac:dyDescent="0.3">
      <c r="B12" s="197"/>
      <c r="C12" s="191"/>
      <c r="D12" s="191"/>
      <c r="E12" s="191"/>
      <c r="F12" s="191"/>
      <c r="G12" s="191"/>
      <c r="H12" s="191"/>
      <c r="I12" s="191"/>
      <c r="J12" s="191"/>
      <c r="K12" s="191"/>
      <c r="L12" s="191"/>
      <c r="M12" s="191"/>
      <c r="N12" s="191"/>
      <c r="O12" s="191"/>
      <c r="P12" s="191"/>
    </row>
    <row r="13" spans="2:16" ht="20.100000000000001" customHeight="1" x14ac:dyDescent="0.3">
      <c r="B13" s="197"/>
      <c r="C13" s="191"/>
      <c r="D13" s="191"/>
      <c r="E13" s="191"/>
      <c r="F13" s="191"/>
      <c r="G13" s="191"/>
      <c r="H13" s="191"/>
      <c r="I13" s="191"/>
      <c r="J13" s="191"/>
      <c r="K13" s="191"/>
      <c r="L13" s="191"/>
      <c r="M13" s="191"/>
      <c r="N13" s="191"/>
      <c r="O13" s="191"/>
      <c r="P13" s="191"/>
    </row>
    <row r="15" spans="2:16" ht="20.100000000000001" customHeight="1" x14ac:dyDescent="0.3">
      <c r="B15" s="198"/>
      <c r="C15" s="192"/>
      <c r="D15" s="192"/>
      <c r="E15" s="192"/>
      <c r="F15" s="90"/>
      <c r="G15" s="90"/>
      <c r="H15" s="90"/>
      <c r="I15" s="90"/>
      <c r="J15" s="90"/>
      <c r="K15" s="90"/>
      <c r="L15" s="90"/>
      <c r="M15" s="90"/>
      <c r="N15" s="90"/>
      <c r="O15" s="90"/>
      <c r="P15" s="91"/>
    </row>
    <row r="16" spans="2:16" ht="20.100000000000001" customHeight="1" x14ac:dyDescent="0.3">
      <c r="B16" s="198"/>
      <c r="C16" s="192"/>
      <c r="D16" s="192"/>
      <c r="E16" s="192"/>
      <c r="F16" s="92"/>
      <c r="G16" s="92"/>
      <c r="H16" s="92"/>
      <c r="I16" s="92"/>
      <c r="J16" s="92"/>
      <c r="K16" s="92"/>
      <c r="L16" s="92"/>
      <c r="M16" s="92"/>
      <c r="N16" s="92"/>
      <c r="O16" s="92"/>
      <c r="P16" s="93"/>
    </row>
    <row r="17" spans="2:24" ht="18.75" customHeight="1" x14ac:dyDescent="0.3">
      <c r="B17" s="198"/>
      <c r="C17" s="192"/>
      <c r="D17" s="192"/>
      <c r="E17" s="192"/>
      <c r="F17" s="94"/>
      <c r="G17" s="94"/>
      <c r="H17" s="94"/>
      <c r="I17" s="94"/>
      <c r="J17" s="94"/>
      <c r="K17" s="94"/>
      <c r="L17" s="94"/>
      <c r="M17" s="94"/>
      <c r="N17" s="94"/>
      <c r="O17" s="94"/>
      <c r="P17" s="95"/>
    </row>
    <row r="19" spans="2:24" x14ac:dyDescent="0.3">
      <c r="C19" s="96" t="s">
        <v>294</v>
      </c>
      <c r="D19" s="97" t="s">
        <v>60</v>
      </c>
      <c r="E19" s="98" t="s">
        <v>295</v>
      </c>
      <c r="F19" s="99" t="s">
        <v>296</v>
      </c>
      <c r="G19" s="209" t="s">
        <v>1700</v>
      </c>
    </row>
    <row r="20" spans="2:24" ht="30" customHeight="1" x14ac:dyDescent="0.3">
      <c r="C20" s="100" t="s">
        <v>1218</v>
      </c>
      <c r="D20" s="101">
        <f>COUNTIF(B21:B345, "*번*")</f>
        <v>30</v>
      </c>
      <c r="F20" s="87">
        <f>COUNTIF(A20:A35, "*없*")</f>
        <v>0</v>
      </c>
    </row>
    <row r="21" spans="2:24" s="102" customFormat="1" ht="24.95" customHeight="1" x14ac:dyDescent="0.3">
      <c r="B21" s="200" t="s">
        <v>1608</v>
      </c>
      <c r="C21" s="103" t="s">
        <v>297</v>
      </c>
      <c r="D21" s="104" t="s">
        <v>298</v>
      </c>
      <c r="E21" s="103" t="s">
        <v>299</v>
      </c>
      <c r="F21" s="104" t="s">
        <v>300</v>
      </c>
      <c r="G21" s="87"/>
      <c r="H21" s="87"/>
      <c r="I21" s="87"/>
      <c r="J21" s="87"/>
      <c r="K21" s="87"/>
      <c r="L21" s="87"/>
      <c r="M21" s="87"/>
      <c r="N21" s="87"/>
      <c r="O21" s="87"/>
      <c r="P21" s="87"/>
      <c r="Q21" s="87"/>
      <c r="R21" s="87"/>
      <c r="S21" s="87"/>
      <c r="T21" s="87"/>
      <c r="U21" s="87"/>
      <c r="V21" s="87"/>
      <c r="W21" s="87"/>
      <c r="X21" s="87"/>
    </row>
    <row r="22" spans="2:24" ht="24.95" customHeight="1" x14ac:dyDescent="0.3">
      <c r="B22" s="201" t="s">
        <v>1609</v>
      </c>
      <c r="C22" s="105" t="s">
        <v>301</v>
      </c>
      <c r="D22" s="105" t="s">
        <v>302</v>
      </c>
      <c r="E22" s="105" t="s">
        <v>303</v>
      </c>
      <c r="F22" s="105" t="s">
        <v>304</v>
      </c>
      <c r="G22" s="105" t="s">
        <v>1376</v>
      </c>
      <c r="H22" s="105" t="s">
        <v>305</v>
      </c>
      <c r="I22" s="105" t="s">
        <v>306</v>
      </c>
      <c r="J22" s="105" t="s">
        <v>307</v>
      </c>
      <c r="K22" s="105" t="s">
        <v>308</v>
      </c>
      <c r="L22" s="105" t="s">
        <v>309</v>
      </c>
      <c r="M22" s="105" t="s">
        <v>310</v>
      </c>
      <c r="N22" s="105" t="s">
        <v>311</v>
      </c>
      <c r="O22" s="105" t="s">
        <v>312</v>
      </c>
      <c r="P22" s="105" t="s">
        <v>313</v>
      </c>
      <c r="Q22" s="105" t="s">
        <v>314</v>
      </c>
    </row>
    <row r="23" spans="2:24" ht="24.95" customHeight="1" x14ac:dyDescent="0.3">
      <c r="C23" s="106" t="s">
        <v>315</v>
      </c>
      <c r="D23" s="107" t="s">
        <v>316</v>
      </c>
      <c r="E23" s="107" t="s">
        <v>317</v>
      </c>
      <c r="F23" s="107" t="s">
        <v>318</v>
      </c>
      <c r="G23" s="108" t="s">
        <v>319</v>
      </c>
      <c r="H23" s="107" t="s">
        <v>320</v>
      </c>
      <c r="I23" s="107" t="s">
        <v>321</v>
      </c>
      <c r="J23" s="107" t="s">
        <v>322</v>
      </c>
      <c r="K23" s="109" t="s">
        <v>323</v>
      </c>
      <c r="L23" s="109" t="s">
        <v>324</v>
      </c>
      <c r="M23" s="109" t="s">
        <v>325</v>
      </c>
      <c r="N23" s="108" t="s">
        <v>326</v>
      </c>
      <c r="O23" s="109" t="s">
        <v>327</v>
      </c>
      <c r="P23" s="109" t="s">
        <v>328</v>
      </c>
      <c r="Q23" s="109" t="s">
        <v>329</v>
      </c>
    </row>
    <row r="24" spans="2:24" ht="24.95" customHeight="1" x14ac:dyDescent="0.3">
      <c r="C24" s="23" t="s">
        <v>1762</v>
      </c>
      <c r="D24" s="20" t="s">
        <v>1763</v>
      </c>
      <c r="E24" s="20" t="s">
        <v>1895</v>
      </c>
      <c r="F24" s="20" t="s">
        <v>129</v>
      </c>
      <c r="G24" s="20" t="s">
        <v>330</v>
      </c>
      <c r="H24" s="20" t="s">
        <v>330</v>
      </c>
      <c r="I24" s="20" t="s">
        <v>330</v>
      </c>
      <c r="J24" s="20" t="s">
        <v>1896</v>
      </c>
      <c r="K24" s="110" t="s">
        <v>331</v>
      </c>
      <c r="L24" s="20" t="s">
        <v>1897</v>
      </c>
      <c r="M24" s="20" t="s">
        <v>332</v>
      </c>
      <c r="N24" s="20" t="s">
        <v>330</v>
      </c>
      <c r="O24" s="20" t="s">
        <v>330</v>
      </c>
      <c r="P24" s="20" t="s">
        <v>333</v>
      </c>
      <c r="Q24" s="20" t="s">
        <v>333</v>
      </c>
    </row>
    <row r="25" spans="2:24" ht="24.95" customHeight="1" x14ac:dyDescent="0.3">
      <c r="C25" s="23" t="s">
        <v>1789</v>
      </c>
      <c r="D25" s="20" t="s">
        <v>1790</v>
      </c>
      <c r="E25" s="20" t="s">
        <v>1904</v>
      </c>
      <c r="F25" s="215" t="s">
        <v>1662</v>
      </c>
      <c r="G25" s="20" t="s">
        <v>330</v>
      </c>
      <c r="H25" s="20" t="s">
        <v>330</v>
      </c>
      <c r="I25" s="20" t="s">
        <v>330</v>
      </c>
      <c r="J25" s="20" t="s">
        <v>1905</v>
      </c>
      <c r="K25" s="110" t="s">
        <v>334</v>
      </c>
      <c r="L25" s="20" t="s">
        <v>1906</v>
      </c>
      <c r="M25" s="20" t="s">
        <v>335</v>
      </c>
      <c r="N25" s="20" t="s">
        <v>330</v>
      </c>
      <c r="O25" s="20" t="s">
        <v>330</v>
      </c>
      <c r="P25" s="20" t="s">
        <v>336</v>
      </c>
      <c r="Q25" s="20" t="s">
        <v>336</v>
      </c>
    </row>
    <row r="26" spans="2:24" ht="24.95" customHeight="1" x14ac:dyDescent="0.3">
      <c r="C26" s="23" t="s">
        <v>1813</v>
      </c>
      <c r="D26" s="20" t="s">
        <v>1814</v>
      </c>
      <c r="E26" s="20" t="s">
        <v>1919</v>
      </c>
      <c r="F26" s="215" t="s">
        <v>1663</v>
      </c>
      <c r="G26" s="20" t="s">
        <v>337</v>
      </c>
      <c r="H26" s="20" t="s">
        <v>338</v>
      </c>
      <c r="I26" s="20">
        <v>890911</v>
      </c>
      <c r="J26" s="20" t="s">
        <v>1920</v>
      </c>
      <c r="K26" s="110" t="s">
        <v>339</v>
      </c>
      <c r="L26" s="20" t="s">
        <v>1921</v>
      </c>
      <c r="M26" s="20" t="s">
        <v>340</v>
      </c>
      <c r="N26" s="20" t="s">
        <v>1764</v>
      </c>
      <c r="O26" s="20">
        <v>100000</v>
      </c>
      <c r="P26" s="20" t="s">
        <v>333</v>
      </c>
      <c r="Q26" s="20" t="s">
        <v>333</v>
      </c>
    </row>
    <row r="27" spans="2:24" ht="24.95" customHeight="1" x14ac:dyDescent="0.3">
      <c r="C27" s="23" t="s">
        <v>1837</v>
      </c>
      <c r="D27" s="20" t="s">
        <v>1838</v>
      </c>
      <c r="E27" s="20" t="s">
        <v>1930</v>
      </c>
      <c r="F27" s="215" t="s">
        <v>1664</v>
      </c>
      <c r="G27" s="20" t="s">
        <v>330</v>
      </c>
      <c r="H27" s="20" t="s">
        <v>330</v>
      </c>
      <c r="I27" s="20" t="s">
        <v>330</v>
      </c>
      <c r="J27" s="20" t="s">
        <v>1931</v>
      </c>
      <c r="K27" s="110" t="s">
        <v>341</v>
      </c>
      <c r="L27" s="20" t="s">
        <v>1932</v>
      </c>
      <c r="M27" s="20" t="s">
        <v>342</v>
      </c>
      <c r="N27" s="20" t="s">
        <v>330</v>
      </c>
      <c r="O27" s="20" t="s">
        <v>330</v>
      </c>
      <c r="P27" s="20" t="s">
        <v>336</v>
      </c>
      <c r="Q27" s="20" t="s">
        <v>336</v>
      </c>
    </row>
    <row r="28" spans="2:24" ht="24.95" customHeight="1" x14ac:dyDescent="0.3">
      <c r="C28" s="23" t="s">
        <v>1854</v>
      </c>
      <c r="D28" s="20" t="s">
        <v>1855</v>
      </c>
      <c r="E28" s="20" t="s">
        <v>1937</v>
      </c>
      <c r="F28" s="215" t="s">
        <v>343</v>
      </c>
      <c r="G28" s="20" t="s">
        <v>344</v>
      </c>
      <c r="H28" s="20" t="s">
        <v>338</v>
      </c>
      <c r="I28" s="20">
        <v>9916</v>
      </c>
      <c r="J28" s="20" t="s">
        <v>1938</v>
      </c>
      <c r="K28" s="110" t="s">
        <v>345</v>
      </c>
      <c r="L28" s="20" t="s">
        <v>1939</v>
      </c>
      <c r="M28" s="20" t="s">
        <v>346</v>
      </c>
      <c r="N28" s="20" t="s">
        <v>1791</v>
      </c>
      <c r="O28" s="20">
        <v>50000</v>
      </c>
      <c r="P28" s="20" t="s">
        <v>333</v>
      </c>
      <c r="Q28" s="20" t="s">
        <v>333</v>
      </c>
    </row>
    <row r="29" spans="2:24" ht="24.95" customHeight="1" x14ac:dyDescent="0.3">
      <c r="C29" s="23" t="s">
        <v>1868</v>
      </c>
      <c r="D29" s="20" t="s">
        <v>1869</v>
      </c>
      <c r="E29" s="20" t="s">
        <v>1944</v>
      </c>
      <c r="F29" s="215" t="s">
        <v>1665</v>
      </c>
      <c r="G29" s="20" t="s">
        <v>330</v>
      </c>
      <c r="H29" s="20" t="s">
        <v>330</v>
      </c>
      <c r="I29" s="20" t="s">
        <v>330</v>
      </c>
      <c r="J29" s="20" t="s">
        <v>1945</v>
      </c>
      <c r="K29" s="110" t="s">
        <v>345</v>
      </c>
      <c r="L29" s="20" t="s">
        <v>1946</v>
      </c>
      <c r="M29" s="20" t="s">
        <v>347</v>
      </c>
      <c r="N29" s="20" t="s">
        <v>330</v>
      </c>
      <c r="O29" s="20" t="s">
        <v>330</v>
      </c>
      <c r="P29" s="20" t="s">
        <v>336</v>
      </c>
      <c r="Q29" s="20" t="s">
        <v>336</v>
      </c>
    </row>
    <row r="30" spans="2:24" ht="24.95" customHeight="1" x14ac:dyDescent="0.3">
      <c r="C30" s="23" t="s">
        <v>1877</v>
      </c>
      <c r="D30" s="20" t="s">
        <v>1878</v>
      </c>
      <c r="E30" s="20" t="s">
        <v>348</v>
      </c>
      <c r="F30" s="215" t="s">
        <v>349</v>
      </c>
      <c r="G30" s="20" t="s">
        <v>350</v>
      </c>
      <c r="H30" s="20" t="s">
        <v>338</v>
      </c>
      <c r="I30" s="20">
        <v>1212</v>
      </c>
      <c r="J30" s="20" t="s">
        <v>1888</v>
      </c>
      <c r="K30" s="110" t="s">
        <v>351</v>
      </c>
      <c r="L30" s="20" t="s">
        <v>352</v>
      </c>
      <c r="M30" s="20" t="s">
        <v>353</v>
      </c>
      <c r="N30" s="20" t="s">
        <v>1815</v>
      </c>
      <c r="O30" s="20">
        <v>10000</v>
      </c>
      <c r="P30" s="20" t="s">
        <v>333</v>
      </c>
      <c r="Q30" s="20" t="s">
        <v>333</v>
      </c>
    </row>
    <row r="31" spans="2:24" ht="24.95" customHeight="1" x14ac:dyDescent="0.3">
      <c r="C31" s="23" t="s">
        <v>1881</v>
      </c>
      <c r="D31" s="20" t="s">
        <v>1882</v>
      </c>
      <c r="E31" s="20" t="s">
        <v>354</v>
      </c>
      <c r="F31" s="20" t="s">
        <v>355</v>
      </c>
      <c r="G31" s="20" t="s">
        <v>356</v>
      </c>
      <c r="H31" s="20" t="s">
        <v>357</v>
      </c>
      <c r="I31" s="20">
        <v>9123</v>
      </c>
      <c r="J31" s="20" t="s">
        <v>1889</v>
      </c>
      <c r="K31" s="110" t="s">
        <v>358</v>
      </c>
      <c r="L31" s="20" t="s">
        <v>359</v>
      </c>
      <c r="M31" s="20" t="s">
        <v>360</v>
      </c>
      <c r="N31" s="20" t="s">
        <v>1839</v>
      </c>
      <c r="O31" s="20">
        <v>3000</v>
      </c>
      <c r="P31" s="20" t="s">
        <v>336</v>
      </c>
      <c r="Q31" s="20" t="s">
        <v>336</v>
      </c>
    </row>
    <row r="32" spans="2:24" ht="24.95" customHeight="1" x14ac:dyDescent="0.3">
      <c r="C32" s="23" t="s">
        <v>1881</v>
      </c>
      <c r="D32" s="20" t="s">
        <v>1885</v>
      </c>
      <c r="E32" s="20" t="s">
        <v>361</v>
      </c>
      <c r="F32" s="20" t="s">
        <v>355</v>
      </c>
      <c r="G32" s="20" t="s">
        <v>362</v>
      </c>
      <c r="H32" s="20" t="s">
        <v>338</v>
      </c>
      <c r="I32" s="20">
        <v>9123</v>
      </c>
      <c r="J32" s="20" t="s">
        <v>1890</v>
      </c>
      <c r="K32" s="110" t="s">
        <v>358</v>
      </c>
      <c r="L32" s="20" t="s">
        <v>359</v>
      </c>
      <c r="M32" s="20" t="s">
        <v>360</v>
      </c>
      <c r="N32" s="20" t="s">
        <v>1856</v>
      </c>
      <c r="O32" s="20">
        <v>500</v>
      </c>
      <c r="P32" s="20" t="s">
        <v>336</v>
      </c>
      <c r="Q32" s="20" t="s">
        <v>336</v>
      </c>
    </row>
    <row r="33" spans="2:8" ht="24.95" customHeight="1" x14ac:dyDescent="0.3"/>
    <row r="34" spans="2:8" ht="24.95" customHeight="1" x14ac:dyDescent="0.3">
      <c r="B34" s="200" t="s">
        <v>1610</v>
      </c>
      <c r="C34" s="103" t="s">
        <v>297</v>
      </c>
      <c r="D34" s="216" t="s">
        <v>1666</v>
      </c>
      <c r="E34" s="103" t="s">
        <v>299</v>
      </c>
      <c r="F34" s="104" t="s">
        <v>363</v>
      </c>
    </row>
    <row r="35" spans="2:8" ht="24.95" customHeight="1" x14ac:dyDescent="0.3">
      <c r="B35" s="201" t="s">
        <v>1611</v>
      </c>
      <c r="C35" s="105" t="s">
        <v>1379</v>
      </c>
      <c r="D35" s="105" t="s">
        <v>365</v>
      </c>
      <c r="E35" s="105" t="s">
        <v>366</v>
      </c>
      <c r="F35" s="105" t="s">
        <v>367</v>
      </c>
      <c r="G35" s="105" t="s">
        <v>368</v>
      </c>
      <c r="H35" s="105" t="s">
        <v>369</v>
      </c>
    </row>
    <row r="36" spans="2:8" ht="24.95" customHeight="1" x14ac:dyDescent="0.3">
      <c r="C36" s="106" t="s">
        <v>319</v>
      </c>
      <c r="D36" s="107" t="s">
        <v>370</v>
      </c>
      <c r="E36" s="107" t="s">
        <v>371</v>
      </c>
      <c r="F36" s="107" t="s">
        <v>372</v>
      </c>
      <c r="G36" s="107" t="s">
        <v>373</v>
      </c>
      <c r="H36" s="107" t="s">
        <v>374</v>
      </c>
    </row>
    <row r="37" spans="2:8" ht="24.95" customHeight="1" x14ac:dyDescent="0.3">
      <c r="C37" s="23" t="s">
        <v>337</v>
      </c>
      <c r="D37" s="20">
        <v>80</v>
      </c>
      <c r="E37" s="20">
        <v>1000000</v>
      </c>
      <c r="F37" s="20">
        <v>20</v>
      </c>
      <c r="G37" s="20">
        <v>15</v>
      </c>
      <c r="H37" s="20">
        <v>0.15</v>
      </c>
    </row>
    <row r="38" spans="2:8" ht="24.95" customHeight="1" x14ac:dyDescent="0.3">
      <c r="C38" s="23" t="s">
        <v>344</v>
      </c>
      <c r="D38" s="20">
        <v>50</v>
      </c>
      <c r="E38" s="20">
        <v>500000</v>
      </c>
      <c r="F38" s="20">
        <v>15</v>
      </c>
      <c r="G38" s="20">
        <v>10</v>
      </c>
      <c r="H38" s="20">
        <v>0.1</v>
      </c>
    </row>
    <row r="39" spans="2:8" ht="24.95" customHeight="1" x14ac:dyDescent="0.3">
      <c r="C39" s="23" t="s">
        <v>350</v>
      </c>
      <c r="D39" s="20">
        <v>20</v>
      </c>
      <c r="E39" s="20">
        <v>200000</v>
      </c>
      <c r="F39" s="20">
        <v>10</v>
      </c>
      <c r="G39" s="20">
        <v>5</v>
      </c>
      <c r="H39" s="20">
        <v>7.0000000000000007E-2</v>
      </c>
    </row>
    <row r="40" spans="2:8" ht="24.95" customHeight="1" x14ac:dyDescent="0.3">
      <c r="C40" s="23" t="s">
        <v>356</v>
      </c>
      <c r="D40" s="20">
        <v>5</v>
      </c>
      <c r="E40" s="20">
        <v>50000</v>
      </c>
      <c r="F40" s="20">
        <v>5</v>
      </c>
      <c r="G40" s="20">
        <v>0</v>
      </c>
      <c r="H40" s="20">
        <v>0.5</v>
      </c>
    </row>
    <row r="41" spans="2:8" ht="24.95" customHeight="1" x14ac:dyDescent="0.3">
      <c r="C41" s="23" t="s">
        <v>362</v>
      </c>
      <c r="D41" s="20">
        <v>0</v>
      </c>
      <c r="E41" s="20">
        <v>0</v>
      </c>
      <c r="F41" s="20">
        <v>0</v>
      </c>
      <c r="G41" s="20">
        <v>0</v>
      </c>
      <c r="H41" s="20">
        <v>0.2</v>
      </c>
    </row>
    <row r="42" spans="2:8" ht="24.95" customHeight="1" x14ac:dyDescent="0.3"/>
    <row r="43" spans="2:8" ht="24.95" customHeight="1" x14ac:dyDescent="0.3">
      <c r="B43" s="200" t="s">
        <v>1612</v>
      </c>
      <c r="C43" s="103" t="s">
        <v>297</v>
      </c>
      <c r="D43" s="104" t="s">
        <v>1381</v>
      </c>
      <c r="E43" s="103" t="s">
        <v>299</v>
      </c>
      <c r="F43" s="104" t="s">
        <v>375</v>
      </c>
    </row>
    <row r="44" spans="2:8" ht="24.95" customHeight="1" x14ac:dyDescent="0.3">
      <c r="B44" s="201" t="s">
        <v>1613</v>
      </c>
      <c r="C44" s="111" t="s">
        <v>1383</v>
      </c>
      <c r="D44" s="105" t="s">
        <v>1377</v>
      </c>
      <c r="E44" s="105" t="s">
        <v>364</v>
      </c>
      <c r="F44" s="105" t="s">
        <v>376</v>
      </c>
      <c r="G44" s="105" t="s">
        <v>1385</v>
      </c>
      <c r="H44" s="105" t="s">
        <v>377</v>
      </c>
    </row>
    <row r="45" spans="2:8" ht="24.95" customHeight="1" x14ac:dyDescent="0.3">
      <c r="C45" s="112" t="s">
        <v>1382</v>
      </c>
      <c r="D45" s="113" t="s">
        <v>1380</v>
      </c>
      <c r="E45" s="107" t="s">
        <v>319</v>
      </c>
      <c r="F45" s="107" t="s">
        <v>378</v>
      </c>
      <c r="G45" s="114" t="s">
        <v>1384</v>
      </c>
      <c r="H45" s="107" t="s">
        <v>375</v>
      </c>
    </row>
    <row r="46" spans="2:8" ht="24.95" customHeight="1" x14ac:dyDescent="0.3">
      <c r="C46" s="20" t="s">
        <v>1765</v>
      </c>
      <c r="D46" s="20" t="s">
        <v>1813</v>
      </c>
      <c r="E46" s="20" t="s">
        <v>344</v>
      </c>
      <c r="F46" s="20" t="s">
        <v>379</v>
      </c>
      <c r="G46" s="20" t="s">
        <v>1702</v>
      </c>
      <c r="H46" s="20">
        <v>1000</v>
      </c>
    </row>
    <row r="47" spans="2:8" ht="24.95" customHeight="1" x14ac:dyDescent="0.3">
      <c r="C47" s="20" t="s">
        <v>1792</v>
      </c>
      <c r="D47" s="20" t="s">
        <v>1854</v>
      </c>
      <c r="E47" s="20" t="s">
        <v>380</v>
      </c>
      <c r="F47" s="20" t="s">
        <v>381</v>
      </c>
      <c r="G47" s="20" t="s">
        <v>1704</v>
      </c>
      <c r="H47" s="20">
        <v>3000</v>
      </c>
    </row>
    <row r="48" spans="2:8" ht="24.95" customHeight="1" x14ac:dyDescent="0.3">
      <c r="C48" s="20" t="s">
        <v>1816</v>
      </c>
      <c r="D48" s="20" t="s">
        <v>1877</v>
      </c>
      <c r="E48" s="20" t="s">
        <v>362</v>
      </c>
      <c r="F48" s="20" t="s">
        <v>382</v>
      </c>
      <c r="G48" s="20" t="s">
        <v>1705</v>
      </c>
      <c r="H48" s="20">
        <v>2000</v>
      </c>
    </row>
    <row r="49" spans="2:16" ht="24.95" customHeight="1" x14ac:dyDescent="0.3"/>
    <row r="50" spans="2:16" ht="24.95" customHeight="1" x14ac:dyDescent="0.3">
      <c r="B50" s="200" t="s">
        <v>1614</v>
      </c>
      <c r="C50" s="103" t="s">
        <v>297</v>
      </c>
      <c r="D50" s="104" t="s">
        <v>394</v>
      </c>
      <c r="E50" s="103" t="s">
        <v>299</v>
      </c>
      <c r="F50" s="104" t="s">
        <v>326</v>
      </c>
    </row>
    <row r="51" spans="2:16" ht="24.95" customHeight="1" x14ac:dyDescent="0.3">
      <c r="B51" s="201" t="s">
        <v>1615</v>
      </c>
      <c r="C51" s="105" t="s">
        <v>395</v>
      </c>
      <c r="D51" s="105" t="s">
        <v>1388</v>
      </c>
      <c r="E51" s="105" t="s">
        <v>303</v>
      </c>
      <c r="F51" s="105" t="s">
        <v>305</v>
      </c>
      <c r="G51" s="105" t="s">
        <v>306</v>
      </c>
      <c r="H51" s="105" t="s">
        <v>396</v>
      </c>
      <c r="I51" s="105" t="s">
        <v>397</v>
      </c>
      <c r="J51" s="105" t="s">
        <v>398</v>
      </c>
      <c r="K51" s="105" t="s">
        <v>399</v>
      </c>
      <c r="L51" s="105" t="s">
        <v>400</v>
      </c>
      <c r="M51" s="105" t="s">
        <v>401</v>
      </c>
      <c r="N51" s="105" t="s">
        <v>402</v>
      </c>
      <c r="O51" s="105" t="s">
        <v>403</v>
      </c>
      <c r="P51" s="105" t="s">
        <v>404</v>
      </c>
    </row>
    <row r="52" spans="2:16" ht="24.95" customHeight="1" x14ac:dyDescent="0.3">
      <c r="C52" s="106" t="s">
        <v>1387</v>
      </c>
      <c r="D52" s="108" t="s">
        <v>1380</v>
      </c>
      <c r="E52" s="107" t="s">
        <v>405</v>
      </c>
      <c r="F52" s="107" t="s">
        <v>406</v>
      </c>
      <c r="G52" s="107" t="s">
        <v>407</v>
      </c>
      <c r="H52" s="20" t="s">
        <v>408</v>
      </c>
      <c r="I52" s="20" t="s">
        <v>409</v>
      </c>
      <c r="J52" s="109" t="s">
        <v>410</v>
      </c>
      <c r="K52" s="109" t="s">
        <v>411</v>
      </c>
      <c r="L52" s="109" t="s">
        <v>412</v>
      </c>
      <c r="M52" s="109" t="s">
        <v>413</v>
      </c>
      <c r="N52" s="107" t="s">
        <v>414</v>
      </c>
      <c r="O52" s="109" t="s">
        <v>415</v>
      </c>
      <c r="P52" s="107" t="s">
        <v>416</v>
      </c>
    </row>
    <row r="53" spans="2:16" ht="24.95" customHeight="1" x14ac:dyDescent="0.3">
      <c r="C53" s="23" t="s">
        <v>1764</v>
      </c>
      <c r="D53" s="20" t="s">
        <v>1813</v>
      </c>
      <c r="E53" s="20" t="s">
        <v>417</v>
      </c>
      <c r="F53" s="20" t="s">
        <v>338</v>
      </c>
      <c r="G53" s="20">
        <v>2311</v>
      </c>
      <c r="H53" s="20" t="s">
        <v>418</v>
      </c>
      <c r="I53" s="20" t="s">
        <v>419</v>
      </c>
      <c r="J53" s="20" t="s">
        <v>420</v>
      </c>
      <c r="K53" s="20" t="s">
        <v>421</v>
      </c>
      <c r="L53" s="20" t="b">
        <f>TRUE()</f>
        <v>1</v>
      </c>
      <c r="M53" s="20" t="b">
        <f>TRUE()</f>
        <v>1</v>
      </c>
      <c r="N53" s="20" t="s">
        <v>422</v>
      </c>
      <c r="O53" s="20" t="s">
        <v>423</v>
      </c>
      <c r="P53" s="20" t="s">
        <v>424</v>
      </c>
    </row>
    <row r="54" spans="2:16" ht="24.95" customHeight="1" x14ac:dyDescent="0.3">
      <c r="C54" s="23" t="s">
        <v>1791</v>
      </c>
      <c r="D54" s="20" t="s">
        <v>1854</v>
      </c>
      <c r="E54" s="20" t="s">
        <v>425</v>
      </c>
      <c r="F54" s="20" t="s">
        <v>357</v>
      </c>
      <c r="G54" s="20">
        <v>2312</v>
      </c>
      <c r="H54" s="20" t="s">
        <v>418</v>
      </c>
      <c r="I54" s="20" t="s">
        <v>426</v>
      </c>
      <c r="J54" s="20" t="s">
        <v>427</v>
      </c>
      <c r="K54" s="20" t="s">
        <v>428</v>
      </c>
      <c r="L54" s="20" t="b">
        <f>TRUE()</f>
        <v>1</v>
      </c>
      <c r="M54" s="20" t="b">
        <f>TRUE()</f>
        <v>1</v>
      </c>
      <c r="N54" s="20" t="s">
        <v>422</v>
      </c>
      <c r="O54" s="20" t="s">
        <v>429</v>
      </c>
      <c r="P54" s="20" t="s">
        <v>430</v>
      </c>
    </row>
    <row r="55" spans="2:16" ht="24.95" customHeight="1" x14ac:dyDescent="0.3">
      <c r="C55" s="23" t="s">
        <v>1815</v>
      </c>
      <c r="D55" s="20" t="s">
        <v>1877</v>
      </c>
      <c r="E55" s="20" t="s">
        <v>431</v>
      </c>
      <c r="F55" s="20" t="s">
        <v>338</v>
      </c>
      <c r="G55" s="20">
        <v>2313</v>
      </c>
      <c r="H55" s="20" t="s">
        <v>432</v>
      </c>
      <c r="I55" s="20" t="s">
        <v>433</v>
      </c>
      <c r="J55" s="20" t="s">
        <v>434</v>
      </c>
      <c r="K55" s="20" t="s">
        <v>435</v>
      </c>
      <c r="L55" s="20" t="b">
        <f>FALSE()</f>
        <v>0</v>
      </c>
      <c r="M55" s="20" t="b">
        <f>FALSE()</f>
        <v>0</v>
      </c>
      <c r="N55" s="20" t="s">
        <v>422</v>
      </c>
      <c r="O55" s="20" t="s">
        <v>422</v>
      </c>
      <c r="P55" s="20" t="s">
        <v>436</v>
      </c>
    </row>
    <row r="56" spans="2:16" ht="24.95" customHeight="1" x14ac:dyDescent="0.3">
      <c r="C56" s="23" t="s">
        <v>1839</v>
      </c>
      <c r="D56" s="20" t="s">
        <v>1881</v>
      </c>
      <c r="E56" s="20" t="s">
        <v>437</v>
      </c>
      <c r="F56" s="20" t="s">
        <v>357</v>
      </c>
      <c r="G56" s="20">
        <v>2314</v>
      </c>
      <c r="H56" s="20" t="s">
        <v>438</v>
      </c>
      <c r="I56" s="20" t="s">
        <v>439</v>
      </c>
      <c r="J56" s="20" t="s">
        <v>440</v>
      </c>
      <c r="K56" s="20" t="s">
        <v>441</v>
      </c>
      <c r="L56" s="20" t="b">
        <f>FALSE()</f>
        <v>0</v>
      </c>
      <c r="M56" s="20" t="b">
        <f>FALSE()</f>
        <v>0</v>
      </c>
      <c r="N56" s="20" t="s">
        <v>422</v>
      </c>
      <c r="O56" s="20" t="s">
        <v>422</v>
      </c>
      <c r="P56" s="20" t="s">
        <v>442</v>
      </c>
    </row>
    <row r="57" spans="2:16" ht="24.95" customHeight="1" x14ac:dyDescent="0.3">
      <c r="C57" s="23" t="s">
        <v>1856</v>
      </c>
      <c r="D57" s="20" t="s">
        <v>1766</v>
      </c>
      <c r="E57" s="20" t="s">
        <v>443</v>
      </c>
      <c r="F57" s="20" t="s">
        <v>357</v>
      </c>
      <c r="G57" s="20">
        <v>2314</v>
      </c>
      <c r="H57" s="20" t="s">
        <v>444</v>
      </c>
      <c r="I57" s="20" t="s">
        <v>445</v>
      </c>
      <c r="J57" s="20" t="s">
        <v>446</v>
      </c>
      <c r="K57" s="20" t="s">
        <v>447</v>
      </c>
      <c r="L57" s="20" t="b">
        <f>FALSE()</f>
        <v>0</v>
      </c>
      <c r="M57" s="20" t="b">
        <f>FALSE()</f>
        <v>0</v>
      </c>
      <c r="N57" s="20" t="s">
        <v>422</v>
      </c>
      <c r="O57" s="20" t="s">
        <v>422</v>
      </c>
      <c r="P57" s="20" t="s">
        <v>448</v>
      </c>
    </row>
    <row r="58" spans="2:16" ht="24.95" customHeight="1" x14ac:dyDescent="0.3">
      <c r="C58" s="23" t="s">
        <v>1950</v>
      </c>
      <c r="D58" s="20" t="s">
        <v>1767</v>
      </c>
      <c r="E58" s="20" t="s">
        <v>449</v>
      </c>
      <c r="F58" s="20" t="s">
        <v>357</v>
      </c>
      <c r="G58" s="20">
        <v>2314</v>
      </c>
      <c r="H58" s="20" t="s">
        <v>450</v>
      </c>
      <c r="I58" s="20" t="s">
        <v>451</v>
      </c>
      <c r="J58" s="20" t="s">
        <v>452</v>
      </c>
      <c r="K58" s="20" t="s">
        <v>453</v>
      </c>
      <c r="L58" s="20" t="b">
        <f>FALSE()</f>
        <v>0</v>
      </c>
      <c r="M58" s="20" t="b">
        <f>FALSE()</f>
        <v>0</v>
      </c>
      <c r="N58" s="20" t="s">
        <v>422</v>
      </c>
      <c r="O58" s="20" t="s">
        <v>422</v>
      </c>
      <c r="P58" s="20" t="s">
        <v>454</v>
      </c>
    </row>
    <row r="59" spans="2:16" ht="24.95" customHeight="1" x14ac:dyDescent="0.3"/>
    <row r="60" spans="2:16" ht="24.95" customHeight="1" x14ac:dyDescent="0.3"/>
    <row r="61" spans="2:16" ht="24.95" customHeight="1" x14ac:dyDescent="0.3">
      <c r="B61" s="200" t="s">
        <v>1616</v>
      </c>
      <c r="C61" s="120" t="s">
        <v>297</v>
      </c>
      <c r="D61" s="210" t="s">
        <v>1681</v>
      </c>
      <c r="E61" s="120" t="s">
        <v>299</v>
      </c>
      <c r="F61" s="104" t="s">
        <v>1389</v>
      </c>
    </row>
    <row r="62" spans="2:16" ht="24.95" customHeight="1" x14ac:dyDescent="0.3">
      <c r="B62" s="201" t="s">
        <v>1617</v>
      </c>
      <c r="C62" s="121" t="s">
        <v>1276</v>
      </c>
      <c r="D62" s="121" t="s">
        <v>1277</v>
      </c>
      <c r="E62" s="121" t="s">
        <v>1278</v>
      </c>
      <c r="F62" s="105" t="s">
        <v>1312</v>
      </c>
      <c r="G62" s="105" t="s">
        <v>1279</v>
      </c>
      <c r="H62" s="105" t="s">
        <v>1280</v>
      </c>
      <c r="I62" s="105" t="s">
        <v>1296</v>
      </c>
      <c r="J62" s="105" t="s">
        <v>1406</v>
      </c>
      <c r="K62" s="105" t="s">
        <v>1293</v>
      </c>
      <c r="L62" s="105" t="s">
        <v>1319</v>
      </c>
      <c r="M62" s="105" t="s">
        <v>385</v>
      </c>
    </row>
    <row r="63" spans="2:16" ht="24.95" customHeight="1" x14ac:dyDescent="0.3">
      <c r="C63" s="123" t="s">
        <v>1397</v>
      </c>
      <c r="D63" s="124" t="s">
        <v>1398</v>
      </c>
      <c r="E63" s="124" t="s">
        <v>1399</v>
      </c>
      <c r="F63" s="124" t="s">
        <v>1402</v>
      </c>
      <c r="G63" s="124" t="s">
        <v>1400</v>
      </c>
      <c r="H63" s="124" t="s">
        <v>1403</v>
      </c>
      <c r="I63" s="124" t="s">
        <v>1404</v>
      </c>
      <c r="J63" s="152" t="s">
        <v>1405</v>
      </c>
      <c r="K63" s="124" t="s">
        <v>1294</v>
      </c>
      <c r="L63" s="109" t="s">
        <v>1320</v>
      </c>
      <c r="M63" s="107" t="s">
        <v>386</v>
      </c>
    </row>
    <row r="64" spans="2:16" ht="24.95" customHeight="1" x14ac:dyDescent="0.3">
      <c r="C64" s="23" t="s">
        <v>1703</v>
      </c>
      <c r="D64" s="20" t="s">
        <v>1284</v>
      </c>
      <c r="E64" s="20" t="s">
        <v>1281</v>
      </c>
      <c r="F64" s="20" t="s">
        <v>1313</v>
      </c>
      <c r="G64" s="20" t="s">
        <v>1401</v>
      </c>
      <c r="H64" s="20" t="s">
        <v>1907</v>
      </c>
      <c r="I64" s="20" t="s">
        <v>458</v>
      </c>
      <c r="J64" s="20" t="s">
        <v>1298</v>
      </c>
      <c r="K64" s="110" t="s">
        <v>459</v>
      </c>
      <c r="L64" s="20" t="s">
        <v>1578</v>
      </c>
      <c r="M64" s="20" t="s">
        <v>1898</v>
      </c>
    </row>
    <row r="65" spans="2:24" ht="24.95" customHeight="1" x14ac:dyDescent="0.3">
      <c r="C65" s="23" t="s">
        <v>1704</v>
      </c>
      <c r="D65" s="20" t="s">
        <v>1284</v>
      </c>
      <c r="E65" s="20" t="s">
        <v>1282</v>
      </c>
      <c r="F65" s="20" t="s">
        <v>1314</v>
      </c>
      <c r="G65" s="20" t="s">
        <v>460</v>
      </c>
      <c r="H65" s="20" t="s">
        <v>1933</v>
      </c>
      <c r="I65" s="20" t="s">
        <v>1295</v>
      </c>
      <c r="J65" s="20" t="s">
        <v>1299</v>
      </c>
      <c r="K65" s="110" t="s">
        <v>461</v>
      </c>
      <c r="L65" s="20" t="s">
        <v>1578</v>
      </c>
      <c r="M65" s="20" t="s">
        <v>1908</v>
      </c>
    </row>
    <row r="66" spans="2:24" ht="24.95" customHeight="1" x14ac:dyDescent="0.3">
      <c r="B66" s="118"/>
      <c r="C66" s="23" t="s">
        <v>1705</v>
      </c>
      <c r="D66" s="20" t="s">
        <v>1283</v>
      </c>
      <c r="E66" s="20" t="s">
        <v>1288</v>
      </c>
      <c r="F66" s="20" t="s">
        <v>1315</v>
      </c>
      <c r="G66" s="20" t="s">
        <v>462</v>
      </c>
      <c r="H66" s="20" t="s">
        <v>1922</v>
      </c>
      <c r="I66" s="20" t="s">
        <v>1951</v>
      </c>
      <c r="J66" s="20" t="s">
        <v>1300</v>
      </c>
      <c r="K66" s="110" t="s">
        <v>464</v>
      </c>
      <c r="L66" s="20" t="s">
        <v>1579</v>
      </c>
      <c r="M66" s="20" t="s">
        <v>1923</v>
      </c>
    </row>
    <row r="67" spans="2:24" ht="24.95" customHeight="1" x14ac:dyDescent="0.3">
      <c r="C67" s="23" t="s">
        <v>1706</v>
      </c>
      <c r="D67" s="20" t="s">
        <v>1285</v>
      </c>
      <c r="E67" s="20" t="s">
        <v>1289</v>
      </c>
      <c r="F67" s="20" t="s">
        <v>1316</v>
      </c>
      <c r="G67" s="20" t="s">
        <v>462</v>
      </c>
      <c r="H67" s="20" t="s">
        <v>1922</v>
      </c>
      <c r="I67" s="20" t="s">
        <v>1952</v>
      </c>
      <c r="J67" s="20" t="s">
        <v>1307</v>
      </c>
      <c r="K67" s="110" t="s">
        <v>464</v>
      </c>
      <c r="L67" s="20" t="s">
        <v>1579</v>
      </c>
      <c r="M67" s="20" t="s">
        <v>1934</v>
      </c>
      <c r="Q67" s="118"/>
      <c r="X67" s="118"/>
    </row>
    <row r="68" spans="2:24" ht="24.95" customHeight="1" x14ac:dyDescent="0.3">
      <c r="C68" s="23" t="s">
        <v>1707</v>
      </c>
      <c r="D68" s="20" t="s">
        <v>1286</v>
      </c>
      <c r="E68" s="20" t="s">
        <v>1290</v>
      </c>
      <c r="F68" s="20" t="s">
        <v>1317</v>
      </c>
      <c r="G68" s="20" t="s">
        <v>457</v>
      </c>
      <c r="H68" s="20" t="s">
        <v>1907</v>
      </c>
      <c r="I68" s="20" t="s">
        <v>458</v>
      </c>
      <c r="J68" s="20" t="s">
        <v>1308</v>
      </c>
      <c r="K68" s="110" t="s">
        <v>459</v>
      </c>
      <c r="L68" s="20" t="s">
        <v>1580</v>
      </c>
      <c r="M68" s="20" t="s">
        <v>1940</v>
      </c>
      <c r="Q68" s="118"/>
      <c r="X68" s="118"/>
    </row>
    <row r="69" spans="2:24" ht="24.95" customHeight="1" x14ac:dyDescent="0.3">
      <c r="C69" s="23" t="s">
        <v>1708</v>
      </c>
      <c r="D69" s="20" t="s">
        <v>1287</v>
      </c>
      <c r="E69" s="20" t="s">
        <v>1291</v>
      </c>
      <c r="F69" s="20" t="s">
        <v>1318</v>
      </c>
      <c r="G69" s="20" t="s">
        <v>460</v>
      </c>
      <c r="H69" s="20" t="s">
        <v>1933</v>
      </c>
      <c r="I69" s="20" t="s">
        <v>458</v>
      </c>
      <c r="J69" s="20" t="s">
        <v>1309</v>
      </c>
      <c r="K69" s="110" t="s">
        <v>461</v>
      </c>
      <c r="L69" s="20" t="s">
        <v>1580</v>
      </c>
      <c r="M69" s="20" t="s">
        <v>1947</v>
      </c>
      <c r="R69" s="119"/>
    </row>
    <row r="70" spans="2:24" ht="24.95" customHeight="1" x14ac:dyDescent="0.3">
      <c r="C70" s="131"/>
      <c r="D70" s="131"/>
      <c r="E70" s="132"/>
    </row>
    <row r="71" spans="2:24" ht="24.95" customHeight="1" x14ac:dyDescent="0.3">
      <c r="B71" s="200" t="s">
        <v>1734</v>
      </c>
      <c r="C71" s="120" t="s">
        <v>297</v>
      </c>
      <c r="D71" s="104" t="s">
        <v>1346</v>
      </c>
      <c r="E71" s="120" t="s">
        <v>299</v>
      </c>
      <c r="F71" s="20" t="s">
        <v>1347</v>
      </c>
      <c r="J71" s="143"/>
    </row>
    <row r="72" spans="2:24" ht="24.95" customHeight="1" x14ac:dyDescent="0.3">
      <c r="B72" s="201" t="s">
        <v>1646</v>
      </c>
      <c r="C72" s="105" t="s">
        <v>1522</v>
      </c>
      <c r="D72" s="105" t="s">
        <v>1408</v>
      </c>
      <c r="E72" s="105" t="s">
        <v>1348</v>
      </c>
      <c r="F72" s="105" t="s">
        <v>1730</v>
      </c>
      <c r="G72" s="105" t="s">
        <v>1731</v>
      </c>
      <c r="H72" s="118"/>
      <c r="I72" s="118"/>
      <c r="J72" s="118"/>
    </row>
    <row r="73" spans="2:24" ht="24.95" customHeight="1" x14ac:dyDescent="0.3">
      <c r="B73" s="212" t="s">
        <v>1735</v>
      </c>
      <c r="C73" s="144" t="s">
        <v>1519</v>
      </c>
      <c r="D73" s="134" t="s">
        <v>1521</v>
      </c>
      <c r="E73" s="124" t="s">
        <v>1520</v>
      </c>
      <c r="F73" s="124" t="s">
        <v>1733</v>
      </c>
      <c r="G73" s="109" t="s">
        <v>1732</v>
      </c>
      <c r="H73" s="118"/>
      <c r="I73" s="129"/>
      <c r="J73" s="129"/>
    </row>
    <row r="74" spans="2:24" ht="24.95" customHeight="1" x14ac:dyDescent="0.3">
      <c r="C74" s="172" t="s">
        <v>1768</v>
      </c>
      <c r="D74" s="171" t="s">
        <v>1957</v>
      </c>
      <c r="E74" s="136" t="s">
        <v>1349</v>
      </c>
      <c r="F74" s="233" t="s">
        <v>1909</v>
      </c>
      <c r="G74" s="203" t="s">
        <v>1909</v>
      </c>
      <c r="I74" s="138"/>
    </row>
    <row r="75" spans="2:24" ht="24.95" customHeight="1" x14ac:dyDescent="0.3">
      <c r="C75" s="172" t="s">
        <v>1793</v>
      </c>
      <c r="D75" s="171" t="s">
        <v>1956</v>
      </c>
      <c r="E75" s="136" t="s">
        <v>1350</v>
      </c>
      <c r="F75" s="233" t="s">
        <v>1924</v>
      </c>
      <c r="G75" s="203" t="s">
        <v>1924</v>
      </c>
      <c r="I75" s="179"/>
    </row>
    <row r="76" spans="2:24" ht="24.95" customHeight="1" x14ac:dyDescent="0.3">
      <c r="C76" s="172" t="s">
        <v>1817</v>
      </c>
      <c r="D76" s="171" t="s">
        <v>1958</v>
      </c>
      <c r="E76" s="136" t="s">
        <v>1351</v>
      </c>
      <c r="F76" s="233" t="s">
        <v>1935</v>
      </c>
      <c r="G76" s="203" t="s">
        <v>1935</v>
      </c>
    </row>
    <row r="77" spans="2:24" ht="24.95" customHeight="1" x14ac:dyDescent="0.3">
      <c r="C77" s="172" t="s">
        <v>1840</v>
      </c>
      <c r="D77" s="171" t="s">
        <v>1959</v>
      </c>
      <c r="E77" s="136" t="s">
        <v>1352</v>
      </c>
      <c r="F77" s="233" t="s">
        <v>1941</v>
      </c>
      <c r="G77" s="203" t="s">
        <v>1941</v>
      </c>
    </row>
    <row r="78" spans="2:24" ht="24.95" customHeight="1" x14ac:dyDescent="0.3">
      <c r="R78" s="119"/>
    </row>
    <row r="79" spans="2:24" ht="24.95" customHeight="1" x14ac:dyDescent="0.3">
      <c r="B79" s="200" t="s">
        <v>1618</v>
      </c>
      <c r="C79" s="103" t="s">
        <v>297</v>
      </c>
      <c r="D79" s="104" t="s">
        <v>1591</v>
      </c>
      <c r="E79" s="103" t="s">
        <v>299</v>
      </c>
      <c r="F79" s="104" t="s">
        <v>387</v>
      </c>
      <c r="R79" s="119"/>
    </row>
    <row r="80" spans="2:24" ht="24.95" customHeight="1" x14ac:dyDescent="0.3">
      <c r="B80" s="201" t="s">
        <v>1619</v>
      </c>
      <c r="C80" s="105" t="s">
        <v>388</v>
      </c>
      <c r="D80" s="105" t="s">
        <v>1680</v>
      </c>
      <c r="E80" s="217" t="s">
        <v>1395</v>
      </c>
      <c r="F80" s="105" t="s">
        <v>1378</v>
      </c>
      <c r="G80" s="105" t="s">
        <v>384</v>
      </c>
      <c r="H80" s="105" t="s">
        <v>389</v>
      </c>
      <c r="R80" s="119"/>
    </row>
    <row r="81" spans="2:24" ht="24.95" customHeight="1" x14ac:dyDescent="0.3">
      <c r="C81" s="115" t="s">
        <v>390</v>
      </c>
      <c r="D81" s="108" t="s">
        <v>1375</v>
      </c>
      <c r="E81" s="108" t="s">
        <v>1393</v>
      </c>
      <c r="F81" s="114" t="s">
        <v>1374</v>
      </c>
      <c r="G81" s="107" t="s">
        <v>391</v>
      </c>
      <c r="H81" s="107" t="s">
        <v>392</v>
      </c>
      <c r="R81" s="119"/>
    </row>
    <row r="82" spans="2:24" ht="24.95" customHeight="1" x14ac:dyDescent="0.3">
      <c r="C82" s="23" t="s">
        <v>1770</v>
      </c>
      <c r="D82" s="23" t="s">
        <v>1813</v>
      </c>
      <c r="E82" s="20" t="s">
        <v>1702</v>
      </c>
      <c r="F82" s="23" t="s">
        <v>1336</v>
      </c>
      <c r="G82" s="117" t="s">
        <v>1891</v>
      </c>
      <c r="H82" s="20" t="b">
        <f>TRUE()</f>
        <v>1</v>
      </c>
      <c r="R82" s="119"/>
    </row>
    <row r="83" spans="2:24" ht="24.95" customHeight="1" x14ac:dyDescent="0.3">
      <c r="C83" s="23" t="s">
        <v>1795</v>
      </c>
      <c r="D83" s="23" t="s">
        <v>1854</v>
      </c>
      <c r="E83" s="20" t="s">
        <v>1704</v>
      </c>
      <c r="F83" s="23" t="s">
        <v>1337</v>
      </c>
      <c r="G83" s="117" t="s">
        <v>1891</v>
      </c>
      <c r="H83" s="20" t="b">
        <f>TRUE()</f>
        <v>1</v>
      </c>
    </row>
    <row r="84" spans="2:24" s="102" customFormat="1" ht="24.95" customHeight="1" x14ac:dyDescent="0.3">
      <c r="B84" s="118"/>
      <c r="C84" s="23" t="s">
        <v>1819</v>
      </c>
      <c r="D84" s="23" t="s">
        <v>1877</v>
      </c>
      <c r="E84" s="20" t="s">
        <v>1705</v>
      </c>
      <c r="F84" s="23" t="s">
        <v>1338</v>
      </c>
      <c r="G84" s="117" t="s">
        <v>1891</v>
      </c>
      <c r="H84" s="20" t="b">
        <f>FALSE()</f>
        <v>0</v>
      </c>
      <c r="N84" s="87"/>
      <c r="O84" s="87"/>
      <c r="P84" s="87"/>
      <c r="Q84" s="87"/>
      <c r="R84" s="87"/>
      <c r="S84" s="87"/>
      <c r="T84" s="87"/>
      <c r="U84" s="87"/>
      <c r="V84" s="87"/>
      <c r="W84" s="87"/>
      <c r="X84" s="87"/>
    </row>
    <row r="85" spans="2:24" ht="24.95" customHeight="1" x14ac:dyDescent="0.3">
      <c r="N85" s="199"/>
      <c r="O85" s="122"/>
      <c r="P85" s="118"/>
      <c r="Q85" s="118"/>
    </row>
    <row r="86" spans="2:24" ht="24.95" customHeight="1" x14ac:dyDescent="0.3">
      <c r="B86" s="200" t="s">
        <v>1620</v>
      </c>
      <c r="C86" s="120" t="s">
        <v>297</v>
      </c>
      <c r="D86" s="104" t="s">
        <v>1335</v>
      </c>
      <c r="E86" s="120" t="s">
        <v>299</v>
      </c>
      <c r="F86" s="104" t="s">
        <v>1339</v>
      </c>
      <c r="O86" s="122"/>
    </row>
    <row r="87" spans="2:24" ht="24.95" customHeight="1" x14ac:dyDescent="0.3">
      <c r="B87" s="201" t="s">
        <v>1621</v>
      </c>
      <c r="C87" s="121" t="s">
        <v>1426</v>
      </c>
      <c r="D87" s="121" t="s">
        <v>1675</v>
      </c>
      <c r="E87" s="121" t="s">
        <v>1678</v>
      </c>
      <c r="F87" s="121" t="s">
        <v>1340</v>
      </c>
      <c r="G87" s="121" t="s">
        <v>1341</v>
      </c>
      <c r="H87" s="121" t="s">
        <v>1342</v>
      </c>
      <c r="I87" s="105" t="s">
        <v>1343</v>
      </c>
      <c r="O87" s="122"/>
      <c r="U87" s="89"/>
    </row>
    <row r="88" spans="2:24" ht="24.95" customHeight="1" x14ac:dyDescent="0.3">
      <c r="C88" s="123" t="s">
        <v>1425</v>
      </c>
      <c r="D88" s="219" t="s">
        <v>1676</v>
      </c>
      <c r="E88" s="219" t="s">
        <v>1677</v>
      </c>
      <c r="F88" s="116" t="s">
        <v>1427</v>
      </c>
      <c r="G88" s="116" t="s">
        <v>1428</v>
      </c>
      <c r="H88" s="116" t="s">
        <v>1429</v>
      </c>
      <c r="I88" s="124" t="s">
        <v>1430</v>
      </c>
      <c r="O88" s="122"/>
      <c r="U88" s="118"/>
    </row>
    <row r="89" spans="2:24" ht="24.95" customHeight="1" x14ac:dyDescent="0.3">
      <c r="C89" s="218" t="s">
        <v>1953</v>
      </c>
      <c r="D89" s="215" t="s">
        <v>1344</v>
      </c>
      <c r="E89" s="215" t="s">
        <v>1344</v>
      </c>
      <c r="F89" s="215" t="s">
        <v>1344</v>
      </c>
      <c r="G89" s="215" t="s">
        <v>1344</v>
      </c>
      <c r="H89" s="215" t="s">
        <v>1344</v>
      </c>
      <c r="I89" s="215" t="s">
        <v>1344</v>
      </c>
      <c r="O89" s="122"/>
      <c r="U89" s="129"/>
    </row>
    <row r="90" spans="2:24" ht="24.95" customHeight="1" x14ac:dyDescent="0.3">
      <c r="C90" s="218" t="s">
        <v>1337</v>
      </c>
      <c r="D90" s="215" t="s">
        <v>1345</v>
      </c>
      <c r="E90" s="215" t="s">
        <v>1345</v>
      </c>
      <c r="F90" s="215" t="s">
        <v>1344</v>
      </c>
      <c r="G90" s="215" t="s">
        <v>1344</v>
      </c>
      <c r="H90" s="215" t="s">
        <v>1344</v>
      </c>
      <c r="I90" s="215" t="s">
        <v>1344</v>
      </c>
      <c r="O90" s="122"/>
      <c r="U90" s="129"/>
    </row>
    <row r="91" spans="2:24" ht="24.95" customHeight="1" x14ac:dyDescent="0.3">
      <c r="C91" s="218" t="s">
        <v>1338</v>
      </c>
      <c r="D91" s="215" t="s">
        <v>1345</v>
      </c>
      <c r="E91" s="215" t="s">
        <v>1679</v>
      </c>
      <c r="F91" s="215" t="s">
        <v>1345</v>
      </c>
      <c r="G91" s="215" t="s">
        <v>1344</v>
      </c>
      <c r="H91" s="215" t="s">
        <v>1344</v>
      </c>
      <c r="I91" s="215" t="s">
        <v>1344</v>
      </c>
      <c r="O91" s="122"/>
    </row>
    <row r="92" spans="2:24" ht="24.95" customHeight="1" x14ac:dyDescent="0.3">
      <c r="C92" s="218" t="s">
        <v>1954</v>
      </c>
      <c r="D92" s="215" t="s">
        <v>1345</v>
      </c>
      <c r="E92" s="215" t="s">
        <v>1345</v>
      </c>
      <c r="F92" s="215" t="s">
        <v>1345</v>
      </c>
      <c r="G92" s="215" t="s">
        <v>1344</v>
      </c>
      <c r="H92" s="215" t="s">
        <v>1344</v>
      </c>
      <c r="I92" s="215" t="s">
        <v>1345</v>
      </c>
      <c r="O92" s="118"/>
    </row>
    <row r="93" spans="2:24" ht="24.95" customHeight="1" x14ac:dyDescent="0.3">
      <c r="C93" s="218" t="s">
        <v>1955</v>
      </c>
      <c r="D93" s="215" t="s">
        <v>1345</v>
      </c>
      <c r="E93" s="215" t="s">
        <v>1345</v>
      </c>
      <c r="F93" s="215" t="s">
        <v>1345</v>
      </c>
      <c r="G93" s="215" t="s">
        <v>1682</v>
      </c>
      <c r="H93" s="215" t="s">
        <v>1345</v>
      </c>
      <c r="I93" s="215" t="s">
        <v>1345</v>
      </c>
      <c r="O93" s="118"/>
    </row>
    <row r="94" spans="2:24" ht="24.95" customHeight="1" x14ac:dyDescent="0.3">
      <c r="O94" s="118"/>
    </row>
    <row r="95" spans="2:24" ht="24.95" customHeight="1" x14ac:dyDescent="0.3"/>
    <row r="96" spans="2:24" s="102" customFormat="1" ht="24.95" customHeight="1" x14ac:dyDescent="0.3">
      <c r="B96" s="200" t="s">
        <v>1622</v>
      </c>
      <c r="C96" s="103" t="s">
        <v>297</v>
      </c>
      <c r="D96" s="202" t="s">
        <v>1709</v>
      </c>
      <c r="E96" s="103" t="s">
        <v>299</v>
      </c>
      <c r="F96" s="20" t="s">
        <v>393</v>
      </c>
      <c r="G96" s="87"/>
      <c r="H96" s="87"/>
      <c r="I96" s="87"/>
      <c r="J96" s="87"/>
      <c r="K96" s="87"/>
      <c r="L96" s="87"/>
      <c r="M96" s="87"/>
      <c r="N96" s="118"/>
      <c r="O96" s="87"/>
      <c r="P96" s="87"/>
      <c r="Q96" s="87"/>
      <c r="R96" s="87"/>
      <c r="S96" s="87"/>
      <c r="T96" s="87"/>
      <c r="U96" s="87"/>
      <c r="V96" s="87"/>
      <c r="W96" s="87"/>
      <c r="X96" s="87"/>
    </row>
    <row r="97" spans="2:24" ht="24.95" customHeight="1" x14ac:dyDescent="0.3">
      <c r="B97" s="201" t="s">
        <v>1623</v>
      </c>
      <c r="C97" s="105" t="s">
        <v>1386</v>
      </c>
      <c r="D97" s="105" t="s">
        <v>1377</v>
      </c>
      <c r="E97" s="105" t="s">
        <v>1395</v>
      </c>
      <c r="F97" s="105" t="s">
        <v>1396</v>
      </c>
      <c r="O97" s="122"/>
      <c r="P97" s="118"/>
      <c r="Q97" s="118"/>
    </row>
    <row r="98" spans="2:24" ht="24.95" customHeight="1" x14ac:dyDescent="0.3">
      <c r="C98" s="106" t="s">
        <v>1390</v>
      </c>
      <c r="D98" s="108" t="s">
        <v>1391</v>
      </c>
      <c r="E98" s="114" t="s">
        <v>1394</v>
      </c>
      <c r="F98" s="107" t="s">
        <v>1392</v>
      </c>
      <c r="O98" s="122"/>
    </row>
    <row r="99" spans="2:24" ht="24.95" customHeight="1" x14ac:dyDescent="0.3">
      <c r="C99" s="23" t="s">
        <v>1771</v>
      </c>
      <c r="D99" s="20" t="s">
        <v>1813</v>
      </c>
      <c r="E99" s="20" t="s">
        <v>1702</v>
      </c>
      <c r="F99" s="20" t="b">
        <f>TRUE()</f>
        <v>1</v>
      </c>
      <c r="O99" s="122"/>
    </row>
    <row r="100" spans="2:24" ht="24.95" customHeight="1" x14ac:dyDescent="0.3">
      <c r="C100" s="23" t="s">
        <v>1796</v>
      </c>
      <c r="D100" s="20" t="s">
        <v>1854</v>
      </c>
      <c r="E100" s="20" t="s">
        <v>1704</v>
      </c>
      <c r="F100" s="20" t="b">
        <f>FALSE()</f>
        <v>0</v>
      </c>
      <c r="O100" s="122"/>
    </row>
    <row r="101" spans="2:24" ht="24.95" customHeight="1" x14ac:dyDescent="0.3">
      <c r="C101" s="23" t="s">
        <v>1820</v>
      </c>
      <c r="D101" s="20" t="s">
        <v>1877</v>
      </c>
      <c r="E101" s="20" t="s">
        <v>1705</v>
      </c>
      <c r="F101" s="20" t="b">
        <f>TRUE()</f>
        <v>1</v>
      </c>
      <c r="O101" s="122"/>
    </row>
    <row r="102" spans="2:24" ht="24.95" customHeight="1" x14ac:dyDescent="0.3">
      <c r="C102" s="23" t="s">
        <v>1842</v>
      </c>
      <c r="D102" s="20" t="s">
        <v>1881</v>
      </c>
      <c r="E102" s="20" t="s">
        <v>1706</v>
      </c>
      <c r="F102" s="20" t="b">
        <f>FALSE()</f>
        <v>0</v>
      </c>
      <c r="O102" s="118"/>
    </row>
    <row r="103" spans="2:24" ht="24.95" customHeight="1" x14ac:dyDescent="0.3">
      <c r="O103" s="118"/>
    </row>
    <row r="104" spans="2:24" ht="24.95" customHeight="1" x14ac:dyDescent="0.3">
      <c r="B104" s="200" t="s">
        <v>1624</v>
      </c>
      <c r="C104" s="120" t="s">
        <v>297</v>
      </c>
      <c r="D104" s="104" t="s">
        <v>1292</v>
      </c>
      <c r="E104" s="120" t="s">
        <v>299</v>
      </c>
      <c r="F104" s="104" t="s">
        <v>1411</v>
      </c>
      <c r="O104" s="118"/>
    </row>
    <row r="105" spans="2:24" ht="24.95" customHeight="1" x14ac:dyDescent="0.3">
      <c r="B105" s="201" t="s">
        <v>1625</v>
      </c>
      <c r="C105" s="121" t="s">
        <v>1410</v>
      </c>
      <c r="D105" s="121" t="s">
        <v>1408</v>
      </c>
      <c r="E105" s="105" t="s">
        <v>1297</v>
      </c>
      <c r="F105" s="105" t="s">
        <v>1301</v>
      </c>
      <c r="G105" s="105" t="s">
        <v>1302</v>
      </c>
      <c r="H105" s="105" t="s">
        <v>1306</v>
      </c>
      <c r="I105" s="105" t="s">
        <v>1303</v>
      </c>
      <c r="J105" s="105" t="s">
        <v>1304</v>
      </c>
      <c r="K105" s="105" t="s">
        <v>1305</v>
      </c>
      <c r="L105" s="105" t="s">
        <v>1310</v>
      </c>
      <c r="M105" s="105" t="s">
        <v>1311</v>
      </c>
      <c r="N105" s="105" t="s">
        <v>1321</v>
      </c>
    </row>
    <row r="106" spans="2:24" s="102" customFormat="1" ht="24.95" customHeight="1" x14ac:dyDescent="0.3">
      <c r="B106" s="118"/>
      <c r="C106" s="123" t="s">
        <v>1409</v>
      </c>
      <c r="D106" s="153" t="s">
        <v>1407</v>
      </c>
      <c r="E106" s="109" t="s">
        <v>1592</v>
      </c>
      <c r="F106" s="109" t="s">
        <v>1593</v>
      </c>
      <c r="G106" s="109" t="s">
        <v>1595</v>
      </c>
      <c r="H106" s="109" t="s">
        <v>1594</v>
      </c>
      <c r="I106" s="109" t="s">
        <v>1596</v>
      </c>
      <c r="J106" s="109" t="s">
        <v>1597</v>
      </c>
      <c r="K106" s="109" t="s">
        <v>1598</v>
      </c>
      <c r="L106" s="109" t="s">
        <v>1599</v>
      </c>
      <c r="M106" s="109" t="s">
        <v>1600</v>
      </c>
      <c r="N106" s="109" t="s">
        <v>1601</v>
      </c>
      <c r="O106" s="87"/>
      <c r="P106" s="87"/>
      <c r="Q106" s="87"/>
      <c r="R106" s="87"/>
      <c r="S106" s="87"/>
      <c r="T106" s="87"/>
      <c r="U106" s="87"/>
      <c r="V106" s="87"/>
      <c r="W106" s="87"/>
      <c r="X106" s="87"/>
    </row>
    <row r="107" spans="2:24" ht="24.95" customHeight="1" x14ac:dyDescent="0.3">
      <c r="C107" s="23" t="s">
        <v>1772</v>
      </c>
      <c r="D107" s="23" t="s">
        <v>1703</v>
      </c>
      <c r="E107" s="20" t="s">
        <v>1581</v>
      </c>
      <c r="F107" s="20" t="s">
        <v>1581</v>
      </c>
      <c r="G107" s="20" t="s">
        <v>1581</v>
      </c>
      <c r="H107" s="20" t="s">
        <v>1581</v>
      </c>
      <c r="I107" s="20" t="s">
        <v>1581</v>
      </c>
      <c r="J107" s="20" t="s">
        <v>1581</v>
      </c>
      <c r="K107" s="20" t="s">
        <v>1581</v>
      </c>
      <c r="L107" s="20" t="s">
        <v>1582</v>
      </c>
      <c r="M107" s="20" t="s">
        <v>1582</v>
      </c>
      <c r="N107" s="20" t="s">
        <v>1582</v>
      </c>
      <c r="O107" s="122"/>
      <c r="P107" s="118"/>
      <c r="Q107" s="118"/>
    </row>
    <row r="108" spans="2:24" ht="24.95" customHeight="1" x14ac:dyDescent="0.3">
      <c r="C108" s="23" t="s">
        <v>1797</v>
      </c>
      <c r="D108" s="23" t="s">
        <v>1704</v>
      </c>
      <c r="E108" s="20" t="s">
        <v>1948</v>
      </c>
      <c r="F108" s="20" t="s">
        <v>1948</v>
      </c>
      <c r="G108" s="20" t="s">
        <v>1948</v>
      </c>
      <c r="H108" s="20" t="s">
        <v>1948</v>
      </c>
      <c r="I108" s="20" t="s">
        <v>1948</v>
      </c>
      <c r="J108" s="20" t="s">
        <v>1583</v>
      </c>
      <c r="K108" s="20" t="s">
        <v>1583</v>
      </c>
      <c r="L108" s="20" t="s">
        <v>1583</v>
      </c>
      <c r="M108" s="20" t="s">
        <v>1584</v>
      </c>
      <c r="N108" s="20" t="s">
        <v>1910</v>
      </c>
      <c r="O108" s="122"/>
    </row>
    <row r="109" spans="2:24" ht="24.95" customHeight="1" x14ac:dyDescent="0.3">
      <c r="C109" s="23" t="s">
        <v>1821</v>
      </c>
      <c r="D109" s="23" t="s">
        <v>1705</v>
      </c>
      <c r="E109" s="20" t="s">
        <v>1948</v>
      </c>
      <c r="F109" s="20" t="s">
        <v>1948</v>
      </c>
      <c r="G109" s="20" t="s">
        <v>1948</v>
      </c>
      <c r="H109" s="20" t="s">
        <v>1948</v>
      </c>
      <c r="I109" s="20" t="s">
        <v>1948</v>
      </c>
      <c r="J109" s="20" t="s">
        <v>1583</v>
      </c>
      <c r="K109" s="20" t="s">
        <v>1583</v>
      </c>
      <c r="L109" s="20" t="s">
        <v>1583</v>
      </c>
      <c r="M109" s="20" t="s">
        <v>1585</v>
      </c>
      <c r="N109" s="20" t="s">
        <v>1910</v>
      </c>
      <c r="O109" s="122"/>
    </row>
    <row r="110" spans="2:24" ht="24.95" customHeight="1" x14ac:dyDescent="0.3">
      <c r="C110" s="23" t="s">
        <v>1843</v>
      </c>
      <c r="D110" s="23" t="s">
        <v>1706</v>
      </c>
      <c r="E110" s="20" t="s">
        <v>1949</v>
      </c>
      <c r="F110" s="20" t="s">
        <v>1949</v>
      </c>
      <c r="G110" s="20" t="s">
        <v>1949</v>
      </c>
      <c r="H110" s="20" t="s">
        <v>1949</v>
      </c>
      <c r="I110" s="20" t="s">
        <v>1949</v>
      </c>
      <c r="J110" s="20" t="s">
        <v>1583</v>
      </c>
      <c r="K110" s="20" t="s">
        <v>1583</v>
      </c>
      <c r="L110" s="20" t="s">
        <v>1583</v>
      </c>
      <c r="M110" s="20" t="s">
        <v>1586</v>
      </c>
      <c r="N110" s="20" t="s">
        <v>1910</v>
      </c>
      <c r="O110" s="122"/>
    </row>
    <row r="111" spans="2:24" ht="24.95" customHeight="1" x14ac:dyDescent="0.3">
      <c r="C111" s="23" t="s">
        <v>1857</v>
      </c>
      <c r="D111" s="23" t="s">
        <v>1707</v>
      </c>
      <c r="E111" s="20" t="s">
        <v>1581</v>
      </c>
      <c r="F111" s="20" t="s">
        <v>1581</v>
      </c>
      <c r="G111" s="20" t="s">
        <v>1581</v>
      </c>
      <c r="H111" s="20" t="s">
        <v>1581</v>
      </c>
      <c r="I111" s="20" t="s">
        <v>1581</v>
      </c>
      <c r="J111" s="20" t="s">
        <v>1581</v>
      </c>
      <c r="K111" s="20" t="s">
        <v>1581</v>
      </c>
      <c r="L111" s="20" t="s">
        <v>1582</v>
      </c>
      <c r="M111" s="20" t="s">
        <v>1582</v>
      </c>
      <c r="N111" s="20" t="s">
        <v>1582</v>
      </c>
      <c r="O111" s="122"/>
    </row>
    <row r="112" spans="2:24" ht="24.95" customHeight="1" x14ac:dyDescent="0.3">
      <c r="C112" s="23" t="s">
        <v>1870</v>
      </c>
      <c r="D112" s="23" t="s">
        <v>1708</v>
      </c>
      <c r="E112" s="20" t="s">
        <v>1949</v>
      </c>
      <c r="F112" s="20" t="s">
        <v>1949</v>
      </c>
      <c r="G112" s="20" t="s">
        <v>1949</v>
      </c>
      <c r="H112" s="20" t="s">
        <v>1949</v>
      </c>
      <c r="I112" s="20" t="s">
        <v>1949</v>
      </c>
      <c r="J112" s="20" t="s">
        <v>1583</v>
      </c>
      <c r="K112" s="20" t="s">
        <v>1583</v>
      </c>
      <c r="L112" s="20" t="s">
        <v>1583</v>
      </c>
      <c r="M112" s="20" t="s">
        <v>1586</v>
      </c>
      <c r="N112" s="20" t="s">
        <v>1582</v>
      </c>
    </row>
    <row r="113" spans="2:24" s="102" customFormat="1" ht="24.95" customHeight="1" x14ac:dyDescent="0.3">
      <c r="B113" s="118"/>
      <c r="C113" s="87"/>
      <c r="D113" s="87"/>
      <c r="E113" s="87"/>
      <c r="F113" s="87"/>
      <c r="G113" s="87"/>
      <c r="H113" s="87"/>
      <c r="I113" s="87"/>
      <c r="J113" s="87"/>
      <c r="K113" s="87"/>
      <c r="L113" s="87"/>
      <c r="M113" s="87"/>
      <c r="N113" s="87"/>
      <c r="O113" s="87"/>
      <c r="P113" s="87"/>
      <c r="Q113" s="87"/>
      <c r="R113" s="87"/>
      <c r="S113" s="87"/>
      <c r="T113" s="87"/>
      <c r="U113" s="87"/>
      <c r="V113" s="87"/>
      <c r="W113" s="87"/>
      <c r="X113" s="87"/>
    </row>
    <row r="114" spans="2:24" ht="24.95" customHeight="1" x14ac:dyDescent="0.3">
      <c r="B114" s="200" t="s">
        <v>1626</v>
      </c>
      <c r="C114" s="120" t="s">
        <v>297</v>
      </c>
      <c r="D114" s="104" t="s">
        <v>1412</v>
      </c>
      <c r="E114" s="120" t="s">
        <v>299</v>
      </c>
      <c r="F114" s="104" t="s">
        <v>1423</v>
      </c>
      <c r="O114" s="122"/>
      <c r="P114" s="118"/>
      <c r="Q114" s="118"/>
    </row>
    <row r="115" spans="2:24" ht="24.95" customHeight="1" x14ac:dyDescent="0.3">
      <c r="B115" s="201" t="s">
        <v>1627</v>
      </c>
      <c r="C115" s="121" t="s">
        <v>1960</v>
      </c>
      <c r="D115" s="105" t="s">
        <v>455</v>
      </c>
      <c r="E115" s="169" t="s">
        <v>1414</v>
      </c>
      <c r="F115" s="169" t="s">
        <v>456</v>
      </c>
      <c r="G115" s="125"/>
      <c r="H115" s="122"/>
      <c r="I115" s="122"/>
      <c r="J115" s="122"/>
      <c r="K115" s="122"/>
      <c r="L115" s="122"/>
      <c r="M115" s="122"/>
      <c r="N115" s="122"/>
      <c r="O115" s="122"/>
    </row>
    <row r="116" spans="2:24" ht="24.95" customHeight="1" x14ac:dyDescent="0.3">
      <c r="C116" s="123" t="s">
        <v>1418</v>
      </c>
      <c r="D116" s="124" t="s">
        <v>1413</v>
      </c>
      <c r="E116" s="109" t="s">
        <v>1415</v>
      </c>
      <c r="F116" s="109" t="s">
        <v>1416</v>
      </c>
      <c r="G116" s="125"/>
      <c r="H116" s="122"/>
      <c r="I116" s="122"/>
      <c r="J116" s="122"/>
      <c r="K116" s="122"/>
      <c r="L116" s="122"/>
      <c r="M116" s="122"/>
      <c r="N116" s="122"/>
      <c r="O116" s="122"/>
    </row>
    <row r="117" spans="2:24" ht="24.95" customHeight="1" x14ac:dyDescent="0.3">
      <c r="C117" s="23" t="s">
        <v>1773</v>
      </c>
      <c r="D117" s="20" t="s">
        <v>458</v>
      </c>
      <c r="E117" s="20" t="s">
        <v>1177</v>
      </c>
      <c r="F117" s="20" t="s">
        <v>1179</v>
      </c>
      <c r="G117" s="125"/>
      <c r="H117" s="122"/>
      <c r="I117" s="122"/>
      <c r="J117" s="122"/>
      <c r="K117" s="122"/>
      <c r="L117" s="122"/>
      <c r="M117" s="122"/>
      <c r="N117" s="122"/>
      <c r="O117" s="122"/>
    </row>
    <row r="118" spans="2:24" ht="24.95" customHeight="1" x14ac:dyDescent="0.3">
      <c r="C118" s="23" t="s">
        <v>1798</v>
      </c>
      <c r="D118" s="20" t="s">
        <v>458</v>
      </c>
      <c r="E118" s="20" t="s">
        <v>1178</v>
      </c>
      <c r="F118" s="20" t="s">
        <v>1179</v>
      </c>
      <c r="G118" s="125"/>
      <c r="H118" s="122"/>
      <c r="I118" s="122"/>
      <c r="J118" s="122"/>
      <c r="K118" s="122"/>
      <c r="L118" s="122"/>
      <c r="M118" s="122"/>
      <c r="N118" s="122"/>
      <c r="O118" s="122"/>
    </row>
    <row r="119" spans="2:24" ht="24.95" customHeight="1" x14ac:dyDescent="0.3">
      <c r="C119" s="23" t="s">
        <v>1822</v>
      </c>
      <c r="D119" s="20" t="s">
        <v>463</v>
      </c>
      <c r="E119" s="20" t="s">
        <v>1177</v>
      </c>
      <c r="F119" s="20" t="s">
        <v>1180</v>
      </c>
      <c r="G119" s="125"/>
      <c r="H119" s="122"/>
      <c r="I119" s="122"/>
      <c r="J119" s="122"/>
      <c r="K119" s="122"/>
      <c r="L119" s="122"/>
      <c r="M119" s="122"/>
      <c r="N119" s="122"/>
      <c r="O119" s="122"/>
    </row>
    <row r="120" spans="2:24" ht="24.95" customHeight="1" x14ac:dyDescent="0.3">
      <c r="O120" s="122"/>
    </row>
    <row r="121" spans="2:24" ht="24.95" customHeight="1" x14ac:dyDescent="0.3">
      <c r="B121" s="200" t="s">
        <v>1628</v>
      </c>
      <c r="C121" s="126" t="s">
        <v>297</v>
      </c>
      <c r="D121" s="20" t="s">
        <v>1322</v>
      </c>
      <c r="E121" s="126" t="s">
        <v>299</v>
      </c>
      <c r="F121" s="20" t="s">
        <v>1424</v>
      </c>
      <c r="O121" s="122"/>
    </row>
    <row r="122" spans="2:24" ht="24.95" customHeight="1" x14ac:dyDescent="0.3">
      <c r="B122" s="201" t="s">
        <v>1629</v>
      </c>
      <c r="C122" s="127" t="s">
        <v>1417</v>
      </c>
      <c r="D122" s="128" t="s">
        <v>1420</v>
      </c>
      <c r="E122" s="170" t="s">
        <v>1323</v>
      </c>
      <c r="F122" s="125"/>
      <c r="G122" s="122"/>
      <c r="H122" s="122"/>
      <c r="I122" s="122"/>
      <c r="J122" s="122"/>
      <c r="K122" s="122"/>
      <c r="L122" s="122"/>
      <c r="M122" s="122"/>
      <c r="N122" s="122"/>
      <c r="O122" s="122"/>
    </row>
    <row r="123" spans="2:24" ht="24.95" customHeight="1" x14ac:dyDescent="0.3">
      <c r="C123" s="123" t="s">
        <v>1419</v>
      </c>
      <c r="D123" s="152" t="s">
        <v>1421</v>
      </c>
      <c r="E123" s="109" t="s">
        <v>1422</v>
      </c>
      <c r="F123" s="125"/>
      <c r="G123" s="122"/>
      <c r="H123" s="122"/>
      <c r="I123" s="122"/>
      <c r="J123" s="122"/>
      <c r="K123" s="122"/>
      <c r="L123" s="122"/>
      <c r="M123" s="122"/>
      <c r="N123" s="122"/>
      <c r="O123" s="122"/>
    </row>
    <row r="124" spans="2:24" ht="24.95" customHeight="1" x14ac:dyDescent="0.3">
      <c r="C124" s="23" t="s">
        <v>1774</v>
      </c>
      <c r="D124" s="171" t="s">
        <v>1773</v>
      </c>
      <c r="E124" s="20" t="s">
        <v>1324</v>
      </c>
      <c r="F124" s="125"/>
      <c r="G124" s="122"/>
      <c r="H124" s="122"/>
      <c r="I124" s="122"/>
      <c r="J124" s="122"/>
      <c r="K124" s="122"/>
      <c r="L124" s="122"/>
      <c r="M124" s="122"/>
      <c r="N124" s="122"/>
      <c r="O124" s="122"/>
    </row>
    <row r="125" spans="2:24" ht="24.95" customHeight="1" x14ac:dyDescent="0.3">
      <c r="C125" s="23" t="s">
        <v>1799</v>
      </c>
      <c r="D125" s="171" t="s">
        <v>1798</v>
      </c>
      <c r="E125" s="20" t="s">
        <v>1325</v>
      </c>
      <c r="F125" s="125"/>
      <c r="G125" s="122"/>
      <c r="H125" s="122"/>
      <c r="I125" s="122"/>
      <c r="J125" s="122"/>
      <c r="K125" s="122"/>
      <c r="L125" s="122"/>
      <c r="M125" s="122"/>
      <c r="N125" s="122"/>
      <c r="O125" s="122"/>
    </row>
    <row r="126" spans="2:24" ht="24.95" customHeight="1" x14ac:dyDescent="0.3">
      <c r="C126" s="23" t="s">
        <v>1823</v>
      </c>
      <c r="D126" s="171" t="s">
        <v>1822</v>
      </c>
      <c r="E126" s="20" t="s">
        <v>1326</v>
      </c>
      <c r="F126" s="125"/>
      <c r="G126" s="122"/>
      <c r="H126" s="122"/>
      <c r="I126" s="122"/>
      <c r="J126" s="122"/>
      <c r="K126" s="122"/>
      <c r="L126" s="122"/>
      <c r="M126" s="122"/>
      <c r="N126" s="122"/>
      <c r="O126" s="122"/>
    </row>
    <row r="127" spans="2:24" ht="24.95" customHeight="1" x14ac:dyDescent="0.3">
      <c r="C127" s="23" t="s">
        <v>1844</v>
      </c>
      <c r="D127" s="171" t="s">
        <v>1845</v>
      </c>
      <c r="E127" s="20" t="s">
        <v>1327</v>
      </c>
      <c r="F127" s="125"/>
      <c r="G127" s="122"/>
      <c r="H127" s="122"/>
      <c r="I127" s="122"/>
      <c r="J127" s="122"/>
      <c r="K127" s="122"/>
      <c r="L127" s="122"/>
      <c r="M127" s="122"/>
      <c r="N127" s="122"/>
    </row>
    <row r="128" spans="2:24" ht="24.95" customHeight="1" x14ac:dyDescent="0.3">
      <c r="C128" s="23" t="s">
        <v>1859</v>
      </c>
      <c r="D128" s="171" t="s">
        <v>1860</v>
      </c>
      <c r="E128" s="20" t="s">
        <v>1328</v>
      </c>
      <c r="F128" s="125"/>
      <c r="G128" s="122"/>
      <c r="H128" s="122"/>
      <c r="I128" s="122"/>
      <c r="J128" s="122"/>
      <c r="K128" s="122"/>
      <c r="L128" s="122"/>
      <c r="M128" s="122"/>
      <c r="N128" s="122"/>
    </row>
    <row r="129" spans="2:24" s="102" customFormat="1" ht="24.95" customHeight="1" x14ac:dyDescent="0.3">
      <c r="B129" s="118"/>
      <c r="C129" s="23" t="s">
        <v>1871</v>
      </c>
      <c r="D129" s="171" t="s">
        <v>1872</v>
      </c>
      <c r="E129" s="20" t="s">
        <v>1329</v>
      </c>
      <c r="F129" s="125"/>
      <c r="G129" s="122"/>
      <c r="H129" s="122"/>
      <c r="I129" s="122"/>
      <c r="J129" s="122"/>
      <c r="K129" s="122"/>
      <c r="L129" s="122"/>
      <c r="M129" s="122"/>
      <c r="N129" s="122"/>
      <c r="O129" s="87"/>
      <c r="P129" s="87"/>
      <c r="Q129" s="87"/>
      <c r="R129" s="87"/>
      <c r="S129" s="87"/>
      <c r="T129" s="87"/>
      <c r="U129" s="87"/>
      <c r="V129" s="87"/>
      <c r="W129" s="87"/>
      <c r="X129" s="87"/>
    </row>
    <row r="130" spans="2:24" ht="24.95" customHeight="1" x14ac:dyDescent="0.3">
      <c r="C130" s="23" t="s">
        <v>1879</v>
      </c>
      <c r="D130" s="171" t="s">
        <v>1880</v>
      </c>
      <c r="E130" s="20" t="s">
        <v>1330</v>
      </c>
      <c r="F130" s="125"/>
      <c r="G130" s="122"/>
      <c r="H130" s="122"/>
      <c r="I130" s="122"/>
      <c r="J130" s="122"/>
      <c r="K130" s="122"/>
      <c r="L130" s="122"/>
      <c r="M130" s="122"/>
      <c r="N130" s="122"/>
      <c r="O130" s="118"/>
      <c r="P130" s="118"/>
      <c r="Q130" s="118"/>
    </row>
    <row r="131" spans="2:24" ht="24.95" customHeight="1" x14ac:dyDescent="0.3">
      <c r="C131" s="23" t="s">
        <v>1883</v>
      </c>
      <c r="D131" s="171" t="s">
        <v>1884</v>
      </c>
      <c r="E131" s="20" t="s">
        <v>1331</v>
      </c>
      <c r="F131" s="125"/>
      <c r="G131" s="122"/>
      <c r="H131" s="122"/>
      <c r="I131" s="122"/>
      <c r="J131" s="122"/>
      <c r="K131" s="122"/>
      <c r="L131" s="122"/>
      <c r="M131" s="122"/>
      <c r="N131" s="122"/>
    </row>
    <row r="132" spans="2:24" ht="24.95" customHeight="1" x14ac:dyDescent="0.3">
      <c r="C132" s="23" t="s">
        <v>1886</v>
      </c>
      <c r="D132" s="171" t="s">
        <v>1887</v>
      </c>
      <c r="E132" s="20" t="s">
        <v>1332</v>
      </c>
      <c r="F132" s="125"/>
      <c r="G132" s="122"/>
      <c r="H132" s="228"/>
      <c r="I132" s="229"/>
      <c r="J132" s="228"/>
      <c r="K132" s="122"/>
      <c r="L132" s="122"/>
      <c r="M132" s="122"/>
      <c r="N132" s="122"/>
    </row>
    <row r="133" spans="2:24" ht="24.95" customHeight="1" x14ac:dyDescent="0.3">
      <c r="C133" s="23" t="s">
        <v>1892</v>
      </c>
      <c r="D133" s="171" t="s">
        <v>1893</v>
      </c>
      <c r="E133" s="20" t="s">
        <v>1333</v>
      </c>
      <c r="F133" s="125"/>
      <c r="G133" s="122"/>
      <c r="H133" s="228"/>
      <c r="I133" s="230"/>
      <c r="J133" s="228"/>
      <c r="K133" s="122"/>
      <c r="L133" s="122"/>
      <c r="M133" s="122"/>
      <c r="N133" s="122"/>
    </row>
    <row r="134" spans="2:24" ht="24.95" customHeight="1" x14ac:dyDescent="0.3">
      <c r="C134" s="23" t="s">
        <v>1899</v>
      </c>
      <c r="D134" s="171" t="s">
        <v>1900</v>
      </c>
      <c r="E134" s="20" t="s">
        <v>1334</v>
      </c>
      <c r="F134" s="125"/>
      <c r="G134" s="122"/>
      <c r="H134" s="228"/>
      <c r="I134" s="228"/>
      <c r="J134" s="232"/>
      <c r="K134" s="122"/>
      <c r="L134" s="122"/>
      <c r="M134" s="122"/>
      <c r="N134" s="122"/>
    </row>
    <row r="135" spans="2:24" ht="24.95" customHeight="1" x14ac:dyDescent="0.3">
      <c r="H135" s="231"/>
      <c r="I135" s="231"/>
      <c r="J135" s="232"/>
    </row>
    <row r="136" spans="2:24" ht="24.95" customHeight="1" x14ac:dyDescent="0.3">
      <c r="B136" s="200" t="s">
        <v>1630</v>
      </c>
      <c r="C136" s="120" t="s">
        <v>297</v>
      </c>
      <c r="D136" s="104" t="s">
        <v>465</v>
      </c>
      <c r="E136" s="120" t="s">
        <v>299</v>
      </c>
      <c r="F136" s="104" t="s">
        <v>466</v>
      </c>
      <c r="J136" s="87" t="s">
        <v>1185</v>
      </c>
    </row>
    <row r="137" spans="2:24" ht="24.95" customHeight="1" x14ac:dyDescent="0.3">
      <c r="B137" s="201" t="s">
        <v>1631</v>
      </c>
      <c r="C137" s="121" t="s">
        <v>1447</v>
      </c>
      <c r="D137" s="105" t="s">
        <v>467</v>
      </c>
      <c r="E137" s="105" t="s">
        <v>1982</v>
      </c>
      <c r="F137" s="105" t="s">
        <v>1432</v>
      </c>
      <c r="G137" s="105" t="s">
        <v>468</v>
      </c>
      <c r="H137" s="105" t="s">
        <v>469</v>
      </c>
      <c r="I137" s="105" t="s">
        <v>470</v>
      </c>
      <c r="J137" s="169" t="s">
        <v>1181</v>
      </c>
      <c r="K137" s="169" t="s">
        <v>1434</v>
      </c>
      <c r="L137" s="169" t="s">
        <v>1186</v>
      </c>
      <c r="M137" s="169" t="s">
        <v>1435</v>
      </c>
      <c r="N137" s="118"/>
      <c r="O137" s="118"/>
      <c r="P137" s="118"/>
      <c r="Q137" s="118"/>
      <c r="R137" s="118"/>
      <c r="S137" s="118"/>
      <c r="T137" s="118"/>
      <c r="U137" s="118"/>
      <c r="V137" s="118"/>
      <c r="W137" s="118"/>
      <c r="X137" s="118"/>
    </row>
    <row r="138" spans="2:24" ht="24.95" customHeight="1" x14ac:dyDescent="0.3">
      <c r="C138" s="123" t="s">
        <v>471</v>
      </c>
      <c r="D138" s="116" t="s">
        <v>472</v>
      </c>
      <c r="E138" s="152" t="s">
        <v>1983</v>
      </c>
      <c r="F138" s="152" t="s">
        <v>1431</v>
      </c>
      <c r="G138" s="124" t="s">
        <v>473</v>
      </c>
      <c r="H138" s="124" t="s">
        <v>474</v>
      </c>
      <c r="I138" s="124" t="s">
        <v>475</v>
      </c>
      <c r="J138" s="109" t="s">
        <v>1184</v>
      </c>
      <c r="K138" s="154" t="s">
        <v>1433</v>
      </c>
      <c r="L138" s="109" t="s">
        <v>1187</v>
      </c>
      <c r="M138" s="155" t="s">
        <v>1436</v>
      </c>
      <c r="N138" s="129"/>
      <c r="O138" s="118"/>
      <c r="P138" s="129"/>
      <c r="Q138" s="118"/>
      <c r="R138" s="129"/>
      <c r="S138" s="118"/>
      <c r="T138" s="129"/>
      <c r="U138" s="118"/>
      <c r="V138" s="129"/>
      <c r="W138" s="118"/>
      <c r="X138" s="118"/>
    </row>
    <row r="139" spans="2:24" ht="24.95" customHeight="1" x14ac:dyDescent="0.3">
      <c r="C139" s="23" t="s">
        <v>1775</v>
      </c>
      <c r="D139" s="130" t="s">
        <v>1723</v>
      </c>
      <c r="E139" s="171" t="s">
        <v>1962</v>
      </c>
      <c r="F139" s="20" t="s">
        <v>1789</v>
      </c>
      <c r="G139" s="86" t="s">
        <v>1911</v>
      </c>
      <c r="H139" s="24">
        <v>12</v>
      </c>
      <c r="I139" s="86" t="e">
        <f>G139+5</f>
        <v>#VALUE!</v>
      </c>
      <c r="J139" s="20" t="s">
        <v>1183</v>
      </c>
      <c r="K139" s="20" t="s">
        <v>1702</v>
      </c>
      <c r="L139" s="20" t="s">
        <v>1188</v>
      </c>
      <c r="M139" s="20" t="s">
        <v>1789</v>
      </c>
      <c r="R139" s="119"/>
    </row>
    <row r="140" spans="2:24" ht="24.95" customHeight="1" x14ac:dyDescent="0.3">
      <c r="C140" s="23" t="s">
        <v>1800</v>
      </c>
      <c r="D140" s="130" t="s">
        <v>1721</v>
      </c>
      <c r="E140" s="171" t="s">
        <v>1963</v>
      </c>
      <c r="F140" s="20" t="s">
        <v>1837</v>
      </c>
      <c r="G140" s="86" t="s">
        <v>1925</v>
      </c>
      <c r="H140" s="24" t="s">
        <v>1587</v>
      </c>
      <c r="I140" s="86" t="e">
        <f>G140+5</f>
        <v>#VALUE!</v>
      </c>
      <c r="J140" s="20" t="s">
        <v>1182</v>
      </c>
      <c r="K140" s="20" t="s">
        <v>1704</v>
      </c>
      <c r="L140" s="20" t="s">
        <v>1189</v>
      </c>
      <c r="M140" s="20" t="s">
        <v>1881</v>
      </c>
      <c r="R140" s="119"/>
    </row>
    <row r="141" spans="2:24" ht="24.95" customHeight="1" x14ac:dyDescent="0.3">
      <c r="C141" s="23" t="s">
        <v>1824</v>
      </c>
      <c r="D141" s="130" t="s">
        <v>1722</v>
      </c>
      <c r="E141" s="171" t="s">
        <v>1964</v>
      </c>
      <c r="F141" s="20" t="s">
        <v>1767</v>
      </c>
      <c r="G141" s="86" t="s">
        <v>1926</v>
      </c>
      <c r="H141" s="24" t="s">
        <v>1588</v>
      </c>
      <c r="I141" s="86" t="e">
        <f>G141+5</f>
        <v>#VALUE!</v>
      </c>
      <c r="J141" s="20" t="s">
        <v>1182</v>
      </c>
      <c r="K141" s="20" t="s">
        <v>1705</v>
      </c>
      <c r="L141" s="20" t="s">
        <v>1188</v>
      </c>
      <c r="M141" s="20" t="s">
        <v>1813</v>
      </c>
      <c r="R141" s="119"/>
    </row>
    <row r="142" spans="2:24" ht="24.95" customHeight="1" x14ac:dyDescent="0.3">
      <c r="C142" s="131"/>
      <c r="D142" s="132"/>
      <c r="F142" s="207"/>
      <c r="G142" s="138"/>
      <c r="H142" s="207"/>
      <c r="R142" s="119"/>
    </row>
    <row r="143" spans="2:24" ht="24.95" customHeight="1" x14ac:dyDescent="0.3">
      <c r="B143" s="211" t="s">
        <v>1710</v>
      </c>
      <c r="C143" s="120" t="s">
        <v>297</v>
      </c>
      <c r="D143" s="104" t="s">
        <v>1961</v>
      </c>
      <c r="E143" s="120" t="s">
        <v>299</v>
      </c>
      <c r="F143" s="104" t="s">
        <v>1977</v>
      </c>
      <c r="H143" s="207"/>
      <c r="R143" s="119"/>
    </row>
    <row r="144" spans="2:24" ht="24.95" customHeight="1" x14ac:dyDescent="0.3">
      <c r="B144" s="212" t="s">
        <v>1714</v>
      </c>
      <c r="C144" s="121" t="s">
        <v>1978</v>
      </c>
      <c r="D144" s="105" t="s">
        <v>1979</v>
      </c>
      <c r="E144" s="105"/>
      <c r="F144" s="105"/>
      <c r="G144" s="105"/>
      <c r="H144" s="207"/>
      <c r="R144" s="119"/>
    </row>
    <row r="145" spans="3:18" ht="24.95" customHeight="1" x14ac:dyDescent="0.3">
      <c r="C145" s="123" t="s">
        <v>1981</v>
      </c>
      <c r="D145" s="116" t="s">
        <v>1980</v>
      </c>
      <c r="E145" s="152"/>
      <c r="F145" s="124"/>
      <c r="G145" s="124"/>
      <c r="H145" s="207"/>
      <c r="R145" s="119"/>
    </row>
    <row r="146" spans="3:18" ht="24.95" customHeight="1" x14ac:dyDescent="0.3">
      <c r="C146" s="23" t="s">
        <v>1962</v>
      </c>
      <c r="D146" s="130" t="s">
        <v>1712</v>
      </c>
      <c r="E146" s="20"/>
      <c r="F146" s="86"/>
      <c r="G146" s="24"/>
      <c r="H146" s="207"/>
      <c r="R146" s="119"/>
    </row>
    <row r="147" spans="3:18" ht="24.95" customHeight="1" x14ac:dyDescent="0.3">
      <c r="C147" s="23" t="s">
        <v>1963</v>
      </c>
      <c r="D147" s="130" t="s">
        <v>1713</v>
      </c>
      <c r="E147" s="20"/>
      <c r="F147" s="86"/>
      <c r="G147" s="24"/>
      <c r="H147" s="207"/>
      <c r="R147" s="119"/>
    </row>
    <row r="148" spans="3:18" ht="24.95" customHeight="1" x14ac:dyDescent="0.3">
      <c r="C148" s="23" t="s">
        <v>1964</v>
      </c>
      <c r="D148" s="130" t="s">
        <v>1711</v>
      </c>
      <c r="E148" s="20"/>
      <c r="F148" s="86"/>
      <c r="G148" s="24"/>
      <c r="H148" s="207"/>
      <c r="R148" s="119"/>
    </row>
    <row r="149" spans="3:18" ht="24.95" customHeight="1" x14ac:dyDescent="0.3">
      <c r="C149" s="23" t="s">
        <v>1965</v>
      </c>
      <c r="D149" s="130" t="s">
        <v>1715</v>
      </c>
      <c r="E149" s="20"/>
      <c r="F149" s="86"/>
      <c r="G149" s="24"/>
      <c r="R149" s="119"/>
    </row>
    <row r="150" spans="3:18" ht="24.95" customHeight="1" x14ac:dyDescent="0.3">
      <c r="C150" s="23" t="s">
        <v>1966</v>
      </c>
      <c r="D150" s="130" t="s">
        <v>1716</v>
      </c>
      <c r="E150" s="20"/>
      <c r="F150" s="86"/>
      <c r="G150" s="24"/>
      <c r="I150" s="460"/>
      <c r="J150" s="460"/>
      <c r="K150" s="460"/>
      <c r="L150" s="460"/>
      <c r="M150" s="460"/>
      <c r="R150" s="119"/>
    </row>
    <row r="151" spans="3:18" ht="24.95" customHeight="1" x14ac:dyDescent="0.3">
      <c r="C151" s="23" t="s">
        <v>1967</v>
      </c>
      <c r="D151" s="130" t="s">
        <v>1717</v>
      </c>
      <c r="E151" s="20"/>
      <c r="F151" s="86"/>
      <c r="G151" s="24"/>
      <c r="H151" s="207"/>
      <c r="I151" s="461"/>
      <c r="J151" s="462"/>
      <c r="K151" s="460"/>
      <c r="L151" s="463"/>
      <c r="M151" s="464"/>
      <c r="R151" s="119"/>
    </row>
    <row r="152" spans="3:18" ht="24.95" customHeight="1" x14ac:dyDescent="0.3">
      <c r="C152" s="23" t="s">
        <v>1968</v>
      </c>
      <c r="D152" s="130" t="s">
        <v>1718</v>
      </c>
      <c r="E152" s="20"/>
      <c r="F152" s="86"/>
      <c r="G152" s="24"/>
      <c r="H152" s="207"/>
      <c r="I152" s="461"/>
      <c r="J152" s="462"/>
      <c r="K152" s="460"/>
      <c r="L152" s="463"/>
      <c r="M152" s="464"/>
      <c r="R152" s="119"/>
    </row>
    <row r="153" spans="3:18" ht="24.95" customHeight="1" x14ac:dyDescent="0.3">
      <c r="C153" s="23" t="s">
        <v>1969</v>
      </c>
      <c r="D153" s="130" t="s">
        <v>1719</v>
      </c>
      <c r="E153" s="20"/>
      <c r="F153" s="86"/>
      <c r="G153" s="24"/>
      <c r="H153" s="207"/>
      <c r="I153" s="461"/>
      <c r="J153" s="462"/>
      <c r="K153" s="460"/>
      <c r="L153" s="463"/>
      <c r="M153" s="464"/>
      <c r="R153" s="119"/>
    </row>
    <row r="154" spans="3:18" ht="24.95" customHeight="1" x14ac:dyDescent="0.3">
      <c r="C154" s="23" t="s">
        <v>1970</v>
      </c>
      <c r="D154" s="130" t="s">
        <v>1720</v>
      </c>
      <c r="E154" s="20"/>
      <c r="F154" s="86"/>
      <c r="G154" s="24"/>
      <c r="H154" s="207"/>
      <c r="I154" s="461"/>
      <c r="J154" s="462"/>
      <c r="K154" s="462"/>
      <c r="L154" s="462"/>
      <c r="M154" s="464"/>
      <c r="R154" s="119"/>
    </row>
    <row r="155" spans="3:18" ht="24.95" customHeight="1" x14ac:dyDescent="0.3">
      <c r="C155" s="23" t="s">
        <v>1971</v>
      </c>
      <c r="D155" s="130" t="s">
        <v>1724</v>
      </c>
      <c r="E155" s="20"/>
      <c r="F155" s="86"/>
      <c r="G155" s="24"/>
      <c r="H155" s="207"/>
      <c r="R155" s="119"/>
    </row>
    <row r="156" spans="3:18" ht="24.95" customHeight="1" x14ac:dyDescent="0.3">
      <c r="C156" s="23" t="s">
        <v>1972</v>
      </c>
      <c r="D156" s="130" t="s">
        <v>1725</v>
      </c>
      <c r="E156" s="20"/>
      <c r="F156" s="86"/>
      <c r="G156" s="24"/>
      <c r="H156" s="207"/>
      <c r="R156" s="119"/>
    </row>
    <row r="157" spans="3:18" ht="24.95" customHeight="1" x14ac:dyDescent="0.3">
      <c r="C157" s="23" t="s">
        <v>1973</v>
      </c>
      <c r="D157" s="130" t="s">
        <v>1726</v>
      </c>
      <c r="E157" s="20"/>
      <c r="F157" s="86"/>
      <c r="G157" s="24"/>
      <c r="H157" s="207"/>
      <c r="R157" s="119"/>
    </row>
    <row r="158" spans="3:18" ht="24.95" customHeight="1" x14ac:dyDescent="0.3">
      <c r="C158" s="23" t="s">
        <v>1974</v>
      </c>
      <c r="D158" s="130" t="s">
        <v>1727</v>
      </c>
      <c r="E158" s="20"/>
      <c r="F158" s="86"/>
      <c r="G158" s="24"/>
      <c r="H158" s="207"/>
      <c r="R158" s="119"/>
    </row>
    <row r="159" spans="3:18" ht="24.95" customHeight="1" x14ac:dyDescent="0.3">
      <c r="C159" s="23" t="s">
        <v>1975</v>
      </c>
      <c r="D159" s="130" t="s">
        <v>1976</v>
      </c>
      <c r="E159" s="20"/>
      <c r="F159" s="86"/>
      <c r="G159" s="24"/>
      <c r="H159" s="207"/>
      <c r="R159" s="119"/>
    </row>
    <row r="160" spans="3:18" ht="24.95" customHeight="1" x14ac:dyDescent="0.3">
      <c r="C160" s="131"/>
      <c r="D160" s="132"/>
      <c r="R160" s="119"/>
    </row>
    <row r="161" spans="2:24" ht="24.95" customHeight="1" x14ac:dyDescent="0.3">
      <c r="B161" s="200" t="s">
        <v>1632</v>
      </c>
      <c r="C161" s="120" t="s">
        <v>297</v>
      </c>
      <c r="D161" s="104" t="s">
        <v>476</v>
      </c>
      <c r="E161" s="120" t="s">
        <v>299</v>
      </c>
      <c r="F161" s="104" t="s">
        <v>1437</v>
      </c>
    </row>
    <row r="162" spans="2:24" ht="24.95" customHeight="1" x14ac:dyDescent="0.3">
      <c r="B162" s="201" t="s">
        <v>1633</v>
      </c>
      <c r="C162" s="121" t="s">
        <v>1448</v>
      </c>
      <c r="D162" s="105" t="s">
        <v>1445</v>
      </c>
      <c r="E162" s="105" t="s">
        <v>1446</v>
      </c>
      <c r="F162" s="105" t="s">
        <v>477</v>
      </c>
      <c r="G162" s="105" t="s">
        <v>478</v>
      </c>
      <c r="H162" s="105" t="s">
        <v>479</v>
      </c>
      <c r="I162" s="105" t="s">
        <v>480</v>
      </c>
      <c r="J162" s="105"/>
      <c r="K162" s="105"/>
      <c r="L162" s="118"/>
      <c r="M162" s="118"/>
      <c r="N162" s="118"/>
      <c r="O162" s="118"/>
      <c r="P162" s="118"/>
      <c r="Q162" s="118"/>
      <c r="R162" s="118"/>
      <c r="S162" s="118"/>
      <c r="T162" s="118"/>
      <c r="U162" s="118"/>
      <c r="V162" s="118"/>
      <c r="W162" s="118"/>
      <c r="X162" s="118"/>
    </row>
    <row r="163" spans="2:24" ht="24.95" customHeight="1" x14ac:dyDescent="0.3">
      <c r="C163" s="123" t="s">
        <v>1438</v>
      </c>
      <c r="D163" s="155" t="s">
        <v>1444</v>
      </c>
      <c r="E163" s="152" t="s">
        <v>1439</v>
      </c>
      <c r="F163" s="124" t="s">
        <v>1440</v>
      </c>
      <c r="G163" s="124" t="s">
        <v>1442</v>
      </c>
      <c r="H163" s="124" t="s">
        <v>1443</v>
      </c>
      <c r="I163" s="124" t="s">
        <v>1441</v>
      </c>
      <c r="J163" s="109"/>
      <c r="K163" s="109"/>
      <c r="L163" s="129"/>
      <c r="M163" s="118"/>
      <c r="N163" s="129"/>
      <c r="O163" s="118"/>
      <c r="P163" s="129"/>
      <c r="Q163" s="118"/>
      <c r="R163" s="129"/>
      <c r="S163" s="118"/>
      <c r="T163" s="129"/>
      <c r="U163" s="118"/>
      <c r="V163" s="129"/>
      <c r="W163" s="118"/>
      <c r="X163" s="118"/>
    </row>
    <row r="164" spans="2:24" ht="24.95" customHeight="1" x14ac:dyDescent="0.3">
      <c r="C164" s="23" t="s">
        <v>1776</v>
      </c>
      <c r="D164" s="130" t="s">
        <v>1767</v>
      </c>
      <c r="E164" s="20" t="s">
        <v>481</v>
      </c>
      <c r="F164" s="20" t="s">
        <v>1927</v>
      </c>
      <c r="G164" s="20" t="s">
        <v>482</v>
      </c>
      <c r="H164" s="20" t="s">
        <v>483</v>
      </c>
      <c r="I164" s="20" t="s">
        <v>484</v>
      </c>
      <c r="J164" s="20"/>
      <c r="K164" s="20"/>
      <c r="R164" s="119"/>
    </row>
    <row r="165" spans="2:24" ht="24.95" customHeight="1" x14ac:dyDescent="0.3">
      <c r="C165" s="23" t="s">
        <v>1801</v>
      </c>
      <c r="D165" s="130" t="s">
        <v>1767</v>
      </c>
      <c r="E165" s="20" t="s">
        <v>485</v>
      </c>
      <c r="F165" s="20" t="s">
        <v>1912</v>
      </c>
      <c r="G165" s="20" t="s">
        <v>482</v>
      </c>
      <c r="H165" s="20" t="s">
        <v>486</v>
      </c>
      <c r="I165" s="193" t="s">
        <v>487</v>
      </c>
      <c r="J165" s="193"/>
      <c r="K165" s="193"/>
      <c r="R165" s="119"/>
    </row>
    <row r="166" spans="2:24" ht="24.95" customHeight="1" x14ac:dyDescent="0.3">
      <c r="C166" s="23" t="s">
        <v>1825</v>
      </c>
      <c r="D166" s="130" t="s">
        <v>488</v>
      </c>
      <c r="E166" s="20" t="s">
        <v>1602</v>
      </c>
      <c r="F166" s="20" t="s">
        <v>1913</v>
      </c>
      <c r="G166" s="20" t="s">
        <v>489</v>
      </c>
      <c r="H166" s="20" t="s">
        <v>490</v>
      </c>
      <c r="I166" s="193" t="s">
        <v>491</v>
      </c>
      <c r="J166" s="193"/>
      <c r="K166" s="193"/>
      <c r="R166" s="119"/>
    </row>
    <row r="167" spans="2:24" ht="24.95" customHeight="1" x14ac:dyDescent="0.3">
      <c r="C167" s="23" t="s">
        <v>1846</v>
      </c>
      <c r="D167" s="130" t="s">
        <v>1603</v>
      </c>
      <c r="E167" s="130" t="s">
        <v>1766</v>
      </c>
      <c r="F167" s="20" t="s">
        <v>1942</v>
      </c>
      <c r="G167" s="20" t="s">
        <v>482</v>
      </c>
      <c r="H167" s="20" t="s">
        <v>1604</v>
      </c>
      <c r="I167" s="193" t="s">
        <v>1894</v>
      </c>
      <c r="J167" s="193"/>
      <c r="K167" s="193"/>
      <c r="R167" s="119"/>
    </row>
    <row r="168" spans="2:24" ht="24.95" customHeight="1" x14ac:dyDescent="0.3">
      <c r="C168" s="131"/>
      <c r="D168" s="132"/>
      <c r="R168" s="119"/>
    </row>
    <row r="169" spans="2:24" ht="24.95" customHeight="1" x14ac:dyDescent="0.3"/>
    <row r="170" spans="2:24" ht="24.95" customHeight="1" x14ac:dyDescent="0.3">
      <c r="B170" s="200" t="s">
        <v>1634</v>
      </c>
      <c r="C170" s="120" t="s">
        <v>297</v>
      </c>
      <c r="D170" s="104" t="s">
        <v>1190</v>
      </c>
      <c r="E170" s="120" t="s">
        <v>299</v>
      </c>
      <c r="F170" s="104" t="s">
        <v>1191</v>
      </c>
    </row>
    <row r="171" spans="2:24" ht="24.95" customHeight="1" x14ac:dyDescent="0.3">
      <c r="B171" s="201" t="s">
        <v>1635</v>
      </c>
      <c r="C171" s="168" t="s">
        <v>1460</v>
      </c>
      <c r="D171" s="168" t="s">
        <v>1451</v>
      </c>
      <c r="E171" s="168" t="s">
        <v>1192</v>
      </c>
      <c r="F171" s="168" t="s">
        <v>1454</v>
      </c>
      <c r="G171" s="168" t="s">
        <v>1211</v>
      </c>
      <c r="H171" s="168" t="s">
        <v>1212</v>
      </c>
      <c r="I171" s="168" t="s">
        <v>1213</v>
      </c>
      <c r="J171" s="168" t="s">
        <v>1216</v>
      </c>
      <c r="K171" s="168" t="s">
        <v>1214</v>
      </c>
      <c r="L171" s="118"/>
      <c r="M171" s="118"/>
      <c r="N171" s="118"/>
    </row>
    <row r="172" spans="2:24" ht="24.95" customHeight="1" x14ac:dyDescent="0.3">
      <c r="C172" s="123" t="s">
        <v>1449</v>
      </c>
      <c r="D172" s="133" t="s">
        <v>1450</v>
      </c>
      <c r="E172" s="124" t="s">
        <v>1452</v>
      </c>
      <c r="F172" s="134" t="s">
        <v>1453</v>
      </c>
      <c r="G172" s="124" t="s">
        <v>1455</v>
      </c>
      <c r="H172" s="124" t="s">
        <v>1456</v>
      </c>
      <c r="I172" s="124" t="s">
        <v>1457</v>
      </c>
      <c r="J172" s="124" t="s">
        <v>1458</v>
      </c>
      <c r="K172" s="124" t="s">
        <v>1459</v>
      </c>
      <c r="L172" s="129"/>
      <c r="M172" s="129"/>
      <c r="N172" s="129"/>
    </row>
    <row r="173" spans="2:24" ht="24.95" customHeight="1" x14ac:dyDescent="0.3">
      <c r="C173" s="23" t="s">
        <v>1777</v>
      </c>
      <c r="D173" s="20" t="s">
        <v>1877</v>
      </c>
      <c r="E173" s="20" t="s">
        <v>1193</v>
      </c>
      <c r="F173" s="171" t="s">
        <v>1702</v>
      </c>
      <c r="G173" s="20">
        <v>12</v>
      </c>
      <c r="H173" s="86">
        <v>44920</v>
      </c>
      <c r="I173" s="86">
        <f>H173+10</f>
        <v>44930</v>
      </c>
      <c r="J173" s="86" t="s">
        <v>1217</v>
      </c>
      <c r="K173" s="20" t="s">
        <v>1215</v>
      </c>
    </row>
    <row r="174" spans="2:24" ht="24.95" customHeight="1" x14ac:dyDescent="0.3">
      <c r="C174" s="23" t="s">
        <v>1802</v>
      </c>
      <c r="D174" s="87" t="s">
        <v>1881</v>
      </c>
      <c r="E174" s="20" t="s">
        <v>1194</v>
      </c>
      <c r="F174" s="171" t="s">
        <v>1704</v>
      </c>
      <c r="G174" s="20">
        <v>25</v>
      </c>
      <c r="H174" s="86">
        <v>44950</v>
      </c>
      <c r="I174" s="86">
        <f t="shared" ref="I174:I175" si="0">H174+10</f>
        <v>44960</v>
      </c>
      <c r="J174" s="86" t="s">
        <v>1217</v>
      </c>
      <c r="K174" s="20" t="s">
        <v>1215</v>
      </c>
    </row>
    <row r="175" spans="2:24" ht="24.95" customHeight="1" x14ac:dyDescent="0.3">
      <c r="C175" s="23" t="s">
        <v>1826</v>
      </c>
      <c r="D175" s="20" t="s">
        <v>1881</v>
      </c>
      <c r="E175" s="20" t="s">
        <v>558</v>
      </c>
      <c r="F175" s="171" t="s">
        <v>1705</v>
      </c>
      <c r="G175" s="20">
        <v>65</v>
      </c>
      <c r="H175" s="86">
        <v>45332</v>
      </c>
      <c r="I175" s="86">
        <f t="shared" si="0"/>
        <v>45342</v>
      </c>
      <c r="J175" s="86">
        <f>I175+50</f>
        <v>45392</v>
      </c>
      <c r="K175" s="20" t="s">
        <v>1928</v>
      </c>
    </row>
    <row r="176" spans="2:24" ht="24.95" customHeight="1" x14ac:dyDescent="0.3"/>
    <row r="177" spans="2:24" s="102" customFormat="1" ht="24.95" customHeight="1" x14ac:dyDescent="0.3">
      <c r="B177" s="200" t="s">
        <v>1636</v>
      </c>
      <c r="C177" s="120" t="s">
        <v>297</v>
      </c>
      <c r="D177" s="202" t="s">
        <v>1728</v>
      </c>
      <c r="E177" s="120" t="s">
        <v>299</v>
      </c>
      <c r="F177" s="20" t="s">
        <v>492</v>
      </c>
      <c r="G177" s="87"/>
      <c r="H177" s="87"/>
      <c r="I177" s="87"/>
      <c r="J177" s="87"/>
      <c r="K177" s="87"/>
      <c r="L177" s="87"/>
      <c r="M177" s="87"/>
      <c r="N177" s="87"/>
      <c r="O177" s="87"/>
      <c r="P177" s="87"/>
      <c r="Q177" s="87"/>
      <c r="R177" s="87"/>
      <c r="S177" s="87"/>
      <c r="T177" s="87"/>
      <c r="U177" s="87"/>
      <c r="V177" s="87"/>
      <c r="W177" s="87"/>
      <c r="X177" s="87"/>
    </row>
    <row r="178" spans="2:24" ht="24.95" customHeight="1" x14ac:dyDescent="0.3">
      <c r="B178" s="201" t="s">
        <v>1637</v>
      </c>
      <c r="C178" s="105" t="s">
        <v>1500</v>
      </c>
      <c r="D178" s="105" t="s">
        <v>493</v>
      </c>
      <c r="E178" s="105" t="s">
        <v>494</v>
      </c>
    </row>
    <row r="179" spans="2:24" ht="24.95" customHeight="1" x14ac:dyDescent="0.3">
      <c r="C179" s="156" t="s">
        <v>1462</v>
      </c>
      <c r="D179" s="124" t="s">
        <v>495</v>
      </c>
      <c r="E179" s="124" t="s">
        <v>496</v>
      </c>
    </row>
    <row r="180" spans="2:24" ht="24.95" customHeight="1" x14ac:dyDescent="0.3">
      <c r="C180" s="173" t="s">
        <v>497</v>
      </c>
      <c r="D180" s="20" t="s">
        <v>498</v>
      </c>
      <c r="E180" s="20">
        <v>1</v>
      </c>
    </row>
    <row r="181" spans="2:24" ht="24.95" customHeight="1" x14ac:dyDescent="0.3">
      <c r="C181" s="23" t="s">
        <v>499</v>
      </c>
      <c r="D181" s="20" t="s">
        <v>500</v>
      </c>
      <c r="E181" s="20">
        <v>1</v>
      </c>
    </row>
    <row r="182" spans="2:24" ht="24.95" customHeight="1" x14ac:dyDescent="0.3">
      <c r="C182" s="23" t="s">
        <v>501</v>
      </c>
      <c r="D182" s="20" t="s">
        <v>502</v>
      </c>
      <c r="E182" s="20">
        <v>1</v>
      </c>
    </row>
    <row r="183" spans="2:24" ht="24.95" customHeight="1" x14ac:dyDescent="0.3">
      <c r="C183" s="23" t="s">
        <v>503</v>
      </c>
      <c r="D183" s="20" t="s">
        <v>504</v>
      </c>
      <c r="E183" s="20">
        <v>3</v>
      </c>
    </row>
    <row r="184" spans="2:24" ht="24.95" customHeight="1" x14ac:dyDescent="0.3">
      <c r="J184" s="87" t="s">
        <v>505</v>
      </c>
    </row>
    <row r="185" spans="2:24" ht="24.95" customHeight="1" x14ac:dyDescent="0.3">
      <c r="B185" s="200" t="s">
        <v>1638</v>
      </c>
      <c r="C185" s="120" t="s">
        <v>297</v>
      </c>
      <c r="D185" s="202" t="s">
        <v>1729</v>
      </c>
      <c r="E185" s="120" t="s">
        <v>299</v>
      </c>
      <c r="F185" s="104" t="s">
        <v>1463</v>
      </c>
    </row>
    <row r="186" spans="2:24" ht="24.95" customHeight="1" x14ac:dyDescent="0.3">
      <c r="B186" s="201" t="s">
        <v>1639</v>
      </c>
      <c r="C186" s="121" t="s">
        <v>1501</v>
      </c>
      <c r="D186" s="121" t="s">
        <v>1499</v>
      </c>
      <c r="E186" s="121" t="s">
        <v>506</v>
      </c>
      <c r="F186" s="105" t="s">
        <v>507</v>
      </c>
    </row>
    <row r="187" spans="2:24" ht="24.95" customHeight="1" x14ac:dyDescent="0.3">
      <c r="C187" s="144" t="s">
        <v>1492</v>
      </c>
      <c r="D187" s="152" t="s">
        <v>1498</v>
      </c>
      <c r="E187" s="124" t="s">
        <v>1493</v>
      </c>
      <c r="F187" s="124" t="s">
        <v>1494</v>
      </c>
    </row>
    <row r="188" spans="2:24" ht="24.95" customHeight="1" x14ac:dyDescent="0.3">
      <c r="C188" s="23" t="s">
        <v>1778</v>
      </c>
      <c r="D188" s="136" t="s">
        <v>497</v>
      </c>
      <c r="E188" s="135" t="s">
        <v>508</v>
      </c>
      <c r="F188" s="135" t="s">
        <v>509</v>
      </c>
    </row>
    <row r="189" spans="2:24" ht="24.95" customHeight="1" x14ac:dyDescent="0.3">
      <c r="C189" s="23" t="s">
        <v>1803</v>
      </c>
      <c r="D189" s="136" t="s">
        <v>499</v>
      </c>
      <c r="E189" s="135" t="s">
        <v>510</v>
      </c>
      <c r="F189" s="135" t="s">
        <v>511</v>
      </c>
    </row>
    <row r="190" spans="2:24" ht="24.95" customHeight="1" x14ac:dyDescent="0.3">
      <c r="C190" s="23" t="s">
        <v>1827</v>
      </c>
      <c r="D190" s="136" t="s">
        <v>503</v>
      </c>
      <c r="E190" s="135" t="s">
        <v>504</v>
      </c>
      <c r="F190" s="135" t="s">
        <v>512</v>
      </c>
    </row>
    <row r="191" spans="2:24" ht="24.95" customHeight="1" x14ac:dyDescent="0.3">
      <c r="D191" s="137"/>
      <c r="E191" s="131"/>
      <c r="F191" s="132"/>
    </row>
    <row r="192" spans="2:24" ht="24.95" customHeight="1" x14ac:dyDescent="0.3">
      <c r="B192" s="200" t="s">
        <v>1640</v>
      </c>
      <c r="C192" s="126" t="s">
        <v>297</v>
      </c>
      <c r="D192" s="20" t="s">
        <v>1487</v>
      </c>
      <c r="E192" s="126" t="s">
        <v>299</v>
      </c>
      <c r="F192" s="20" t="s">
        <v>513</v>
      </c>
    </row>
    <row r="193" spans="2:15" ht="24.95" customHeight="1" x14ac:dyDescent="0.3">
      <c r="B193" s="201" t="s">
        <v>1641</v>
      </c>
      <c r="C193" s="105" t="s">
        <v>1502</v>
      </c>
      <c r="D193" s="105" t="s">
        <v>1464</v>
      </c>
      <c r="E193" s="105" t="s">
        <v>1499</v>
      </c>
      <c r="F193" s="111" t="s">
        <v>1503</v>
      </c>
      <c r="G193" s="105" t="s">
        <v>514</v>
      </c>
      <c r="H193" s="105" t="s">
        <v>515</v>
      </c>
      <c r="I193" s="121" t="s">
        <v>516</v>
      </c>
      <c r="J193" s="121" t="s">
        <v>517</v>
      </c>
      <c r="K193" s="121" t="s">
        <v>518</v>
      </c>
      <c r="L193" s="121" t="s">
        <v>519</v>
      </c>
      <c r="M193" s="157" t="s">
        <v>520</v>
      </c>
      <c r="N193" s="121" t="s">
        <v>1667</v>
      </c>
      <c r="O193" s="158" t="s">
        <v>1200</v>
      </c>
    </row>
    <row r="194" spans="2:15" ht="24.95" customHeight="1" x14ac:dyDescent="0.3">
      <c r="C194" s="144" t="s">
        <v>1461</v>
      </c>
      <c r="D194" s="152" t="s">
        <v>1465</v>
      </c>
      <c r="E194" s="152" t="s">
        <v>1498</v>
      </c>
      <c r="F194" s="154" t="s">
        <v>1504</v>
      </c>
      <c r="G194" s="124" t="s">
        <v>1466</v>
      </c>
      <c r="H194" s="124" t="s">
        <v>1467</v>
      </c>
      <c r="I194" s="109" t="s">
        <v>1468</v>
      </c>
      <c r="J194" s="109" t="s">
        <v>1469</v>
      </c>
      <c r="K194" s="109" t="s">
        <v>1470</v>
      </c>
      <c r="L194" s="109" t="s">
        <v>1471</v>
      </c>
      <c r="M194" s="150" t="s">
        <v>1472</v>
      </c>
      <c r="N194" s="205" t="s">
        <v>1670</v>
      </c>
      <c r="O194" s="140" t="s">
        <v>1488</v>
      </c>
    </row>
    <row r="195" spans="2:15" ht="24.95" customHeight="1" x14ac:dyDescent="0.3">
      <c r="C195" s="173" t="s">
        <v>1779</v>
      </c>
      <c r="D195" s="20" t="s">
        <v>1762</v>
      </c>
      <c r="E195" s="20" t="s">
        <v>497</v>
      </c>
      <c r="F195" s="20" t="s">
        <v>1780</v>
      </c>
      <c r="G195" s="20" t="s">
        <v>521</v>
      </c>
      <c r="H195" s="24" t="s">
        <v>522</v>
      </c>
      <c r="I195" s="86">
        <v>45314</v>
      </c>
      <c r="J195" s="86" t="s">
        <v>88</v>
      </c>
      <c r="K195" s="86" t="s">
        <v>88</v>
      </c>
      <c r="L195" s="20" t="s">
        <v>523</v>
      </c>
      <c r="M195" s="151">
        <v>14</v>
      </c>
      <c r="N195" s="24">
        <v>100</v>
      </c>
      <c r="O195" s="142" t="s">
        <v>1481</v>
      </c>
    </row>
    <row r="196" spans="2:15" ht="24.95" customHeight="1" x14ac:dyDescent="0.3">
      <c r="C196" s="23" t="s">
        <v>1804</v>
      </c>
      <c r="D196" s="20" t="s">
        <v>1789</v>
      </c>
      <c r="E196" s="20" t="s">
        <v>497</v>
      </c>
      <c r="F196" s="20" t="s">
        <v>1805</v>
      </c>
      <c r="G196" s="20" t="s">
        <v>524</v>
      </c>
      <c r="H196" s="24" t="s">
        <v>525</v>
      </c>
      <c r="I196" s="86">
        <v>45323</v>
      </c>
      <c r="J196" s="86">
        <v>45368</v>
      </c>
      <c r="K196" s="86" t="s">
        <v>88</v>
      </c>
      <c r="L196" s="20" t="s">
        <v>526</v>
      </c>
      <c r="M196" s="151">
        <v>5</v>
      </c>
      <c r="N196" s="24">
        <v>100</v>
      </c>
      <c r="O196" s="142" t="s">
        <v>1482</v>
      </c>
    </row>
    <row r="197" spans="2:15" ht="24.95" customHeight="1" x14ac:dyDescent="0.3">
      <c r="C197" s="23" t="s">
        <v>1828</v>
      </c>
      <c r="D197" s="20" t="s">
        <v>1813</v>
      </c>
      <c r="E197" s="20" t="s">
        <v>497</v>
      </c>
      <c r="F197" s="20" t="s">
        <v>1829</v>
      </c>
      <c r="G197" s="20" t="s">
        <v>527</v>
      </c>
      <c r="H197" s="24" t="s">
        <v>528</v>
      </c>
      <c r="I197" s="86">
        <v>45402</v>
      </c>
      <c r="J197" s="86" t="s">
        <v>88</v>
      </c>
      <c r="K197" s="86">
        <v>45403</v>
      </c>
      <c r="L197" s="20" t="s">
        <v>529</v>
      </c>
      <c r="M197" s="151">
        <v>23</v>
      </c>
      <c r="N197" s="24">
        <v>100</v>
      </c>
      <c r="O197" s="142" t="s">
        <v>1483</v>
      </c>
    </row>
    <row r="198" spans="2:15" ht="24.95" customHeight="1" x14ac:dyDescent="0.3">
      <c r="G198" s="138"/>
      <c r="H198" s="138"/>
      <c r="I198" s="138"/>
      <c r="J198" s="138"/>
      <c r="K198" s="138"/>
      <c r="L198" s="138"/>
      <c r="M198" s="138"/>
    </row>
    <row r="199" spans="2:15" ht="24.95" customHeight="1" x14ac:dyDescent="0.3">
      <c r="B199" s="200" t="s">
        <v>1642</v>
      </c>
      <c r="C199" s="120" t="s">
        <v>297</v>
      </c>
      <c r="D199" s="104" t="s">
        <v>1489</v>
      </c>
      <c r="E199" s="120" t="s">
        <v>299</v>
      </c>
      <c r="F199" s="20" t="s">
        <v>1491</v>
      </c>
      <c r="G199" s="138"/>
      <c r="H199" s="138"/>
      <c r="I199" s="138"/>
      <c r="J199" s="138"/>
      <c r="K199" s="138"/>
      <c r="L199" s="138"/>
      <c r="M199" s="138"/>
    </row>
    <row r="200" spans="2:15" ht="24.95" customHeight="1" x14ac:dyDescent="0.3">
      <c r="B200" s="201" t="s">
        <v>1643</v>
      </c>
      <c r="C200" s="105" t="s">
        <v>1507</v>
      </c>
      <c r="D200" s="105" t="s">
        <v>1464</v>
      </c>
      <c r="E200" s="105" t="s">
        <v>1505</v>
      </c>
      <c r="F200" s="105" t="s">
        <v>514</v>
      </c>
      <c r="G200" s="105" t="s">
        <v>515</v>
      </c>
      <c r="H200" s="121" t="s">
        <v>516</v>
      </c>
      <c r="I200" s="121" t="s">
        <v>517</v>
      </c>
      <c r="J200" s="121" t="s">
        <v>518</v>
      </c>
      <c r="K200" s="121" t="s">
        <v>530</v>
      </c>
      <c r="L200" s="121" t="s">
        <v>520</v>
      </c>
      <c r="M200" s="204" t="s">
        <v>1668</v>
      </c>
      <c r="N200" s="89"/>
    </row>
    <row r="201" spans="2:15" ht="24.95" customHeight="1" x14ac:dyDescent="0.3">
      <c r="C201" s="144" t="s">
        <v>1490</v>
      </c>
      <c r="D201" s="152" t="s">
        <v>1473</v>
      </c>
      <c r="E201" s="152" t="s">
        <v>1506</v>
      </c>
      <c r="F201" s="124" t="s">
        <v>1474</v>
      </c>
      <c r="G201" s="124" t="s">
        <v>1475</v>
      </c>
      <c r="H201" s="124" t="s">
        <v>1476</v>
      </c>
      <c r="I201" s="124" t="s">
        <v>1477</v>
      </c>
      <c r="J201" s="124" t="s">
        <v>1478</v>
      </c>
      <c r="K201" s="124" t="s">
        <v>1479</v>
      </c>
      <c r="L201" s="124" t="s">
        <v>1480</v>
      </c>
      <c r="M201" s="205" t="s">
        <v>1669</v>
      </c>
      <c r="N201" s="89"/>
    </row>
    <row r="202" spans="2:15" ht="24.95" customHeight="1" x14ac:dyDescent="0.3">
      <c r="C202" s="173" t="s">
        <v>1781</v>
      </c>
      <c r="D202" s="20" t="s">
        <v>1762</v>
      </c>
      <c r="E202" s="20" t="s">
        <v>1497</v>
      </c>
      <c r="F202" s="24" t="s">
        <v>531</v>
      </c>
      <c r="G202" s="24" t="s">
        <v>532</v>
      </c>
      <c r="H202" s="161">
        <v>45292</v>
      </c>
      <c r="I202" s="161" t="s">
        <v>88</v>
      </c>
      <c r="J202" s="24" t="s">
        <v>88</v>
      </c>
      <c r="K202" s="24" t="s">
        <v>523</v>
      </c>
      <c r="L202" s="24">
        <v>7</v>
      </c>
      <c r="M202" s="206">
        <v>100</v>
      </c>
      <c r="N202" s="89"/>
    </row>
    <row r="203" spans="2:15" ht="24.95" customHeight="1" x14ac:dyDescent="0.3">
      <c r="C203" s="23" t="s">
        <v>1806</v>
      </c>
      <c r="D203" s="20" t="s">
        <v>1789</v>
      </c>
      <c r="E203" s="20" t="s">
        <v>499</v>
      </c>
      <c r="F203" s="24" t="s">
        <v>533</v>
      </c>
      <c r="G203" s="24" t="s">
        <v>534</v>
      </c>
      <c r="H203" s="161">
        <v>45366</v>
      </c>
      <c r="I203" s="161">
        <v>45368</v>
      </c>
      <c r="J203" s="24" t="s">
        <v>88</v>
      </c>
      <c r="K203" s="24" t="s">
        <v>526</v>
      </c>
      <c r="L203" s="24">
        <v>5</v>
      </c>
      <c r="M203" s="206">
        <v>100</v>
      </c>
      <c r="N203" s="89"/>
    </row>
    <row r="204" spans="2:15" ht="24.95" customHeight="1" x14ac:dyDescent="0.3">
      <c r="C204" s="23" t="s">
        <v>1830</v>
      </c>
      <c r="D204" s="20" t="s">
        <v>1813</v>
      </c>
      <c r="E204" s="20" t="s">
        <v>499</v>
      </c>
      <c r="F204" s="24" t="s">
        <v>535</v>
      </c>
      <c r="G204" s="24" t="s">
        <v>536</v>
      </c>
      <c r="H204" s="161">
        <v>45387</v>
      </c>
      <c r="I204" s="161">
        <v>45388</v>
      </c>
      <c r="J204" s="24" t="s">
        <v>88</v>
      </c>
      <c r="K204" s="24" t="s">
        <v>529</v>
      </c>
      <c r="L204" s="24">
        <v>21</v>
      </c>
      <c r="M204" s="206">
        <v>100</v>
      </c>
      <c r="N204" s="89"/>
    </row>
    <row r="205" spans="2:15" ht="24.95" customHeight="1" x14ac:dyDescent="0.3">
      <c r="H205" s="138"/>
      <c r="I205" s="138"/>
      <c r="J205" s="138"/>
      <c r="K205" s="138"/>
      <c r="L205" s="138"/>
      <c r="M205" s="138"/>
      <c r="N205" s="138"/>
      <c r="O205" s="138"/>
    </row>
    <row r="206" spans="2:15" s="87" customFormat="1" ht="24.95" customHeight="1" x14ac:dyDescent="0.3">
      <c r="B206" s="200" t="s">
        <v>1644</v>
      </c>
      <c r="C206" s="180" t="s">
        <v>1701</v>
      </c>
      <c r="D206" s="104" t="s">
        <v>1201</v>
      </c>
      <c r="E206" s="180" t="s">
        <v>299</v>
      </c>
      <c r="F206" s="104" t="s">
        <v>1485</v>
      </c>
      <c r="H206" s="139"/>
      <c r="I206" s="139"/>
      <c r="J206" s="139"/>
      <c r="K206" s="139"/>
      <c r="L206" s="139"/>
      <c r="M206" s="139"/>
      <c r="N206" s="139"/>
    </row>
    <row r="207" spans="2:15" s="87" customFormat="1" ht="24.95" customHeight="1" x14ac:dyDescent="0.3">
      <c r="B207" s="201" t="s">
        <v>1645</v>
      </c>
      <c r="C207" s="162" t="s">
        <v>1484</v>
      </c>
      <c r="D207" s="158" t="s">
        <v>1496</v>
      </c>
      <c r="E207" s="162" t="s">
        <v>1509</v>
      </c>
      <c r="F207" s="162" t="s">
        <v>1202</v>
      </c>
      <c r="G207" s="162" t="s">
        <v>1203</v>
      </c>
      <c r="H207" s="162" t="s">
        <v>1204</v>
      </c>
      <c r="I207" s="162" t="s">
        <v>1205</v>
      </c>
      <c r="J207" s="162" t="s">
        <v>1205</v>
      </c>
      <c r="K207" s="162" t="s">
        <v>1205</v>
      </c>
      <c r="L207" s="162" t="s">
        <v>1206</v>
      </c>
      <c r="M207" s="162" t="s">
        <v>1508</v>
      </c>
    </row>
    <row r="208" spans="2:15" s="87" customFormat="1" ht="24.95" customHeight="1" x14ac:dyDescent="0.3">
      <c r="C208" s="159" t="s">
        <v>1486</v>
      </c>
      <c r="D208" s="160" t="s">
        <v>1495</v>
      </c>
      <c r="E208" s="160" t="s">
        <v>1510</v>
      </c>
      <c r="F208" s="141" t="s">
        <v>1511</v>
      </c>
      <c r="G208" s="141" t="s">
        <v>1512</v>
      </c>
      <c r="H208" s="141" t="s">
        <v>1513</v>
      </c>
      <c r="I208" s="141" t="s">
        <v>1514</v>
      </c>
      <c r="J208" s="141" t="s">
        <v>1515</v>
      </c>
      <c r="K208" s="141" t="s">
        <v>1514</v>
      </c>
      <c r="L208" s="140" t="s">
        <v>1516</v>
      </c>
      <c r="M208" s="140" t="s">
        <v>1517</v>
      </c>
    </row>
    <row r="209" spans="2:24" s="87" customFormat="1" ht="24.95" customHeight="1" x14ac:dyDescent="0.3">
      <c r="C209" s="173" t="s">
        <v>1780</v>
      </c>
      <c r="D209" s="20" t="s">
        <v>1779</v>
      </c>
      <c r="E209" s="20" t="s">
        <v>1780</v>
      </c>
      <c r="F209" s="142" t="s">
        <v>1207</v>
      </c>
      <c r="G209" s="465">
        <v>45295</v>
      </c>
      <c r="H209" s="142" t="s">
        <v>1208</v>
      </c>
      <c r="I209" s="142" t="s">
        <v>1208</v>
      </c>
      <c r="J209" s="142" t="s">
        <v>1208</v>
      </c>
      <c r="K209" s="142" t="s">
        <v>1208</v>
      </c>
      <c r="L209" s="142" t="s">
        <v>1780</v>
      </c>
      <c r="M209" s="20" t="s">
        <v>1829</v>
      </c>
    </row>
    <row r="210" spans="2:24" s="87" customFormat="1" ht="24.95" customHeight="1" x14ac:dyDescent="0.3">
      <c r="C210" s="23" t="s">
        <v>1805</v>
      </c>
      <c r="D210" s="20" t="s">
        <v>1804</v>
      </c>
      <c r="E210" s="20" t="s">
        <v>1805</v>
      </c>
      <c r="F210" s="142" t="s">
        <v>1209</v>
      </c>
      <c r="G210" s="465">
        <v>45366</v>
      </c>
      <c r="H210" s="142" t="s">
        <v>1208</v>
      </c>
      <c r="I210" s="142" t="s">
        <v>1208</v>
      </c>
      <c r="J210" s="142" t="s">
        <v>1208</v>
      </c>
      <c r="K210" s="142" t="s">
        <v>1208</v>
      </c>
      <c r="L210" s="142" t="s">
        <v>1208</v>
      </c>
      <c r="M210" s="142" t="s">
        <v>1208</v>
      </c>
    </row>
    <row r="211" spans="2:24" s="87" customFormat="1" ht="24.95" customHeight="1" x14ac:dyDescent="0.3">
      <c r="C211" s="23" t="s">
        <v>1829</v>
      </c>
      <c r="D211" s="20" t="s">
        <v>1828</v>
      </c>
      <c r="E211" s="20" t="s">
        <v>1829</v>
      </c>
      <c r="F211" s="142" t="s">
        <v>1210</v>
      </c>
      <c r="G211" s="465">
        <v>45391</v>
      </c>
      <c r="H211" s="142" t="s">
        <v>1208</v>
      </c>
      <c r="I211" s="142" t="s">
        <v>1208</v>
      </c>
      <c r="J211" s="142" t="s">
        <v>1208</v>
      </c>
      <c r="K211" s="142" t="s">
        <v>1208</v>
      </c>
      <c r="L211" s="142" t="s">
        <v>1208</v>
      </c>
      <c r="M211" s="20" t="s">
        <v>1518</v>
      </c>
    </row>
    <row r="212" spans="2:24" ht="24.95" customHeight="1" x14ac:dyDescent="0.3"/>
    <row r="213" spans="2:24" s="102" customFormat="1" ht="24.95" customHeight="1" x14ac:dyDescent="0.3">
      <c r="B213" s="200" t="s">
        <v>1647</v>
      </c>
      <c r="C213" s="120" t="s">
        <v>297</v>
      </c>
      <c r="D213" s="104" t="s">
        <v>1648</v>
      </c>
      <c r="E213" s="120" t="s">
        <v>299</v>
      </c>
      <c r="F213" s="104" t="s">
        <v>537</v>
      </c>
      <c r="G213" s="87"/>
      <c r="H213" s="87"/>
      <c r="I213" s="87"/>
      <c r="J213" s="87"/>
      <c r="K213" s="87"/>
      <c r="L213" s="87"/>
      <c r="M213" s="87"/>
      <c r="N213" s="87"/>
      <c r="O213" s="87"/>
      <c r="P213" s="87"/>
      <c r="Q213" s="87"/>
      <c r="R213" s="87"/>
      <c r="S213" s="87"/>
      <c r="T213" s="87"/>
      <c r="U213" s="87"/>
      <c r="V213" s="87"/>
      <c r="W213" s="87"/>
      <c r="X213" s="87"/>
    </row>
    <row r="214" spans="2:24" ht="24.95" customHeight="1" x14ac:dyDescent="0.3">
      <c r="B214" s="201" t="s">
        <v>1649</v>
      </c>
      <c r="C214" s="121" t="s">
        <v>538</v>
      </c>
      <c r="D214" s="121" t="s">
        <v>1233</v>
      </c>
      <c r="E214" s="105" t="s">
        <v>1219</v>
      </c>
      <c r="F214" s="105" t="s">
        <v>1220</v>
      </c>
      <c r="G214" s="105" t="s">
        <v>1683</v>
      </c>
      <c r="H214" s="105" t="s">
        <v>1221</v>
      </c>
      <c r="I214" s="105" t="s">
        <v>1222</v>
      </c>
      <c r="J214" s="105" t="s">
        <v>1223</v>
      </c>
      <c r="K214" s="105" t="s">
        <v>1224</v>
      </c>
      <c r="L214" s="105" t="s">
        <v>1225</v>
      </c>
      <c r="M214" s="105" t="s">
        <v>1226</v>
      </c>
      <c r="N214" s="105" t="s">
        <v>1227</v>
      </c>
      <c r="O214" s="105" t="s">
        <v>546</v>
      </c>
      <c r="P214" s="168" t="s">
        <v>1250</v>
      </c>
      <c r="Q214" s="118"/>
    </row>
    <row r="215" spans="2:24" ht="24.95" customHeight="1" x14ac:dyDescent="0.3">
      <c r="C215" s="123" t="s">
        <v>1536</v>
      </c>
      <c r="D215" s="145" t="s">
        <v>1523</v>
      </c>
      <c r="E215" s="124" t="s">
        <v>540</v>
      </c>
      <c r="F215" s="133" t="s">
        <v>541</v>
      </c>
      <c r="G215" s="219" t="s">
        <v>1684</v>
      </c>
      <c r="H215" s="124" t="s">
        <v>542</v>
      </c>
      <c r="I215" s="124" t="s">
        <v>1524</v>
      </c>
      <c r="J215" s="124" t="s">
        <v>1525</v>
      </c>
      <c r="K215" s="116" t="s">
        <v>1228</v>
      </c>
      <c r="L215" s="109" t="s">
        <v>543</v>
      </c>
      <c r="M215" s="109" t="s">
        <v>1229</v>
      </c>
      <c r="N215" s="109" t="s">
        <v>1230</v>
      </c>
      <c r="O215" s="109" t="s">
        <v>1231</v>
      </c>
      <c r="P215" s="109" t="s">
        <v>1251</v>
      </c>
    </row>
    <row r="216" spans="2:24" ht="24.95" customHeight="1" x14ac:dyDescent="0.3">
      <c r="C216" s="23" t="s">
        <v>1783</v>
      </c>
      <c r="D216" s="135" t="s">
        <v>1769</v>
      </c>
      <c r="E216" s="20">
        <v>2500</v>
      </c>
      <c r="F216" s="20" t="s">
        <v>1762</v>
      </c>
      <c r="G216" s="215" t="s">
        <v>1685</v>
      </c>
      <c r="H216" s="86">
        <v>45083.441666666666</v>
      </c>
      <c r="I216" s="20" t="s">
        <v>523</v>
      </c>
      <c r="J216" s="20" t="s">
        <v>544</v>
      </c>
      <c r="K216" s="110" t="s">
        <v>545</v>
      </c>
      <c r="L216" s="20">
        <v>10</v>
      </c>
      <c r="M216" s="86" t="s">
        <v>1914</v>
      </c>
      <c r="N216" s="86" t="s">
        <v>1915</v>
      </c>
      <c r="O216" s="20">
        <v>12</v>
      </c>
      <c r="P216" s="20">
        <v>4.5</v>
      </c>
    </row>
    <row r="217" spans="2:24" ht="24.95" customHeight="1" x14ac:dyDescent="0.3">
      <c r="C217" s="23" t="s">
        <v>1808</v>
      </c>
      <c r="D217" s="135" t="s">
        <v>1794</v>
      </c>
      <c r="E217" s="20">
        <v>2500</v>
      </c>
      <c r="F217" s="20" t="s">
        <v>1762</v>
      </c>
      <c r="G217" s="215" t="s">
        <v>1686</v>
      </c>
      <c r="H217" s="86">
        <v>45083.376388888886</v>
      </c>
      <c r="I217" s="20" t="s">
        <v>526</v>
      </c>
      <c r="J217" s="20" t="s">
        <v>1589</v>
      </c>
      <c r="K217" s="110" t="s">
        <v>545</v>
      </c>
      <c r="L217" s="20">
        <v>10</v>
      </c>
      <c r="M217" s="86" t="s">
        <v>1914</v>
      </c>
      <c r="N217" s="86" t="s">
        <v>1915</v>
      </c>
      <c r="O217" s="20">
        <v>12</v>
      </c>
      <c r="P217" s="20">
        <v>5</v>
      </c>
    </row>
    <row r="218" spans="2:24" ht="24.95" customHeight="1" x14ac:dyDescent="0.3">
      <c r="C218" s="23" t="s">
        <v>1832</v>
      </c>
      <c r="D218" s="135" t="s">
        <v>1818</v>
      </c>
      <c r="E218" s="20">
        <v>2500</v>
      </c>
      <c r="F218" s="20" t="s">
        <v>1762</v>
      </c>
      <c r="G218" s="215" t="s">
        <v>1687</v>
      </c>
      <c r="H218" s="86">
        <v>45083.768553240741</v>
      </c>
      <c r="I218" s="20" t="s">
        <v>529</v>
      </c>
      <c r="J218" s="20" t="s">
        <v>1590</v>
      </c>
      <c r="K218" s="110" t="s">
        <v>1232</v>
      </c>
      <c r="L218" s="20">
        <v>0</v>
      </c>
      <c r="M218" s="86" t="s">
        <v>1914</v>
      </c>
      <c r="N218" s="86" t="s">
        <v>1915</v>
      </c>
      <c r="O218" s="20">
        <v>12</v>
      </c>
      <c r="P218" s="20" t="s">
        <v>1353</v>
      </c>
    </row>
    <row r="219" spans="2:24" ht="24.95" customHeight="1" x14ac:dyDescent="0.3">
      <c r="C219" s="131"/>
    </row>
    <row r="220" spans="2:24" ht="24.95" customHeight="1" x14ac:dyDescent="0.3">
      <c r="B220" s="200" t="s">
        <v>1650</v>
      </c>
      <c r="C220" s="126" t="s">
        <v>297</v>
      </c>
      <c r="D220" s="20" t="s">
        <v>1241</v>
      </c>
      <c r="E220" s="126" t="s">
        <v>299</v>
      </c>
      <c r="F220" s="20" t="s">
        <v>1242</v>
      </c>
    </row>
    <row r="221" spans="2:24" ht="24.95" customHeight="1" x14ac:dyDescent="0.3">
      <c r="B221" s="201" t="s">
        <v>1651</v>
      </c>
      <c r="C221" s="168" t="s">
        <v>1243</v>
      </c>
      <c r="D221" s="168" t="s">
        <v>1244</v>
      </c>
      <c r="G221" s="226"/>
    </row>
    <row r="222" spans="2:24" ht="24.95" customHeight="1" x14ac:dyDescent="0.3">
      <c r="C222" s="123" t="s">
        <v>1541</v>
      </c>
      <c r="D222" s="154" t="s">
        <v>1539</v>
      </c>
      <c r="G222" s="226"/>
      <c r="O222" s="118"/>
    </row>
    <row r="223" spans="2:24" ht="24.95" customHeight="1" x14ac:dyDescent="0.3">
      <c r="C223" s="23" t="s">
        <v>1782</v>
      </c>
      <c r="D223" s="130" t="s">
        <v>1762</v>
      </c>
      <c r="G223" s="226"/>
      <c r="O223" s="118"/>
    </row>
    <row r="224" spans="2:24" ht="24.95" customHeight="1" x14ac:dyDescent="0.3">
      <c r="C224" s="23" t="s">
        <v>1807</v>
      </c>
      <c r="D224" s="130" t="s">
        <v>1789</v>
      </c>
      <c r="G224" s="227"/>
    </row>
    <row r="225" spans="2:24" ht="24.95" customHeight="1" x14ac:dyDescent="0.3">
      <c r="C225" s="23" t="s">
        <v>1831</v>
      </c>
      <c r="D225" s="130" t="s">
        <v>1837</v>
      </c>
      <c r="G225" s="227"/>
    </row>
    <row r="226" spans="2:24" ht="24.95" customHeight="1" x14ac:dyDescent="0.3">
      <c r="C226" s="23" t="s">
        <v>1847</v>
      </c>
      <c r="D226" s="130" t="s">
        <v>1837</v>
      </c>
      <c r="G226" s="227"/>
    </row>
    <row r="227" spans="2:24" ht="24.95" customHeight="1" x14ac:dyDescent="0.3">
      <c r="G227" s="227"/>
    </row>
    <row r="228" spans="2:24" ht="24.95" customHeight="1" x14ac:dyDescent="0.3">
      <c r="B228" s="200" t="s">
        <v>1739</v>
      </c>
      <c r="C228" s="126" t="s">
        <v>297</v>
      </c>
      <c r="D228" s="20" t="s">
        <v>1740</v>
      </c>
      <c r="E228" s="126" t="s">
        <v>299</v>
      </c>
      <c r="F228" s="20" t="s">
        <v>1741</v>
      </c>
    </row>
    <row r="229" spans="2:24" ht="24.95" customHeight="1" x14ac:dyDescent="0.3">
      <c r="B229" s="201" t="s">
        <v>1241</v>
      </c>
      <c r="C229" s="168" t="s">
        <v>1742</v>
      </c>
      <c r="D229" s="168" t="s">
        <v>1743</v>
      </c>
      <c r="E229" s="168" t="s">
        <v>1245</v>
      </c>
      <c r="F229" s="168" t="s">
        <v>1240</v>
      </c>
      <c r="G229" s="111" t="s">
        <v>1736</v>
      </c>
      <c r="I229" s="225"/>
    </row>
    <row r="230" spans="2:24" ht="24.95" customHeight="1" x14ac:dyDescent="0.3">
      <c r="C230" s="123" t="s">
        <v>1746</v>
      </c>
      <c r="D230" s="154" t="s">
        <v>1744</v>
      </c>
      <c r="E230" s="220" t="s">
        <v>1538</v>
      </c>
      <c r="F230" s="124" t="s">
        <v>1540</v>
      </c>
      <c r="G230" s="222" t="s">
        <v>1751</v>
      </c>
      <c r="I230" s="225"/>
      <c r="O230" s="118"/>
    </row>
    <row r="231" spans="2:24" ht="24.95" customHeight="1" x14ac:dyDescent="0.3">
      <c r="C231" s="23" t="s">
        <v>1747</v>
      </c>
      <c r="D231" s="130" t="s">
        <v>1782</v>
      </c>
      <c r="E231" s="135" t="s">
        <v>1783</v>
      </c>
      <c r="F231" s="149">
        <v>25</v>
      </c>
      <c r="G231" s="213" t="s">
        <v>1737</v>
      </c>
      <c r="I231" s="225"/>
      <c r="O231" s="118"/>
    </row>
    <row r="232" spans="2:24" ht="24.95" customHeight="1" x14ac:dyDescent="0.3">
      <c r="C232" s="23" t="s">
        <v>1748</v>
      </c>
      <c r="D232" s="130" t="s">
        <v>1782</v>
      </c>
      <c r="E232" s="135" t="s">
        <v>1808</v>
      </c>
      <c r="F232" s="149" t="s">
        <v>1605</v>
      </c>
      <c r="G232" s="214" t="s">
        <v>1738</v>
      </c>
      <c r="I232" s="225"/>
    </row>
    <row r="233" spans="2:24" ht="24.95" customHeight="1" x14ac:dyDescent="0.3">
      <c r="C233" s="23" t="s">
        <v>1749</v>
      </c>
      <c r="D233" s="130" t="s">
        <v>1807</v>
      </c>
      <c r="E233" s="135" t="s">
        <v>1783</v>
      </c>
      <c r="F233" s="149">
        <v>50</v>
      </c>
      <c r="G233" s="214" t="s">
        <v>1738</v>
      </c>
      <c r="I233" s="225"/>
    </row>
    <row r="234" spans="2:24" ht="24.95" customHeight="1" x14ac:dyDescent="0.3">
      <c r="C234" s="23" t="s">
        <v>1750</v>
      </c>
      <c r="D234" s="130" t="s">
        <v>1831</v>
      </c>
      <c r="E234" s="135" t="s">
        <v>1783</v>
      </c>
      <c r="F234" s="149">
        <v>50</v>
      </c>
      <c r="G234" s="214" t="s">
        <v>1738</v>
      </c>
      <c r="I234" s="225"/>
    </row>
    <row r="235" spans="2:24" ht="24.95" customHeight="1" x14ac:dyDescent="0.3"/>
    <row r="236" spans="2:24" ht="24.95" customHeight="1" x14ac:dyDescent="0.3">
      <c r="B236" s="200" t="s">
        <v>1652</v>
      </c>
      <c r="C236" s="148" t="s">
        <v>297</v>
      </c>
      <c r="D236" s="104" t="s">
        <v>1252</v>
      </c>
      <c r="E236" s="120" t="s">
        <v>299</v>
      </c>
      <c r="F236" s="104" t="s">
        <v>1253</v>
      </c>
    </row>
    <row r="237" spans="2:24" ht="24.95" customHeight="1" x14ac:dyDescent="0.3">
      <c r="B237" s="201" t="s">
        <v>1653</v>
      </c>
      <c r="C237" s="121" t="s">
        <v>1254</v>
      </c>
      <c r="D237" s="105" t="s">
        <v>1255</v>
      </c>
      <c r="E237" s="165" t="s">
        <v>1745</v>
      </c>
      <c r="F237" s="165" t="s">
        <v>1263</v>
      </c>
      <c r="G237" s="165" t="s">
        <v>1263</v>
      </c>
      <c r="H237" s="105" t="s">
        <v>1607</v>
      </c>
      <c r="I237" s="105" t="s">
        <v>1256</v>
      </c>
      <c r="J237" s="105" t="s">
        <v>1257</v>
      </c>
      <c r="K237" s="105" t="s">
        <v>1258</v>
      </c>
      <c r="L237" s="105" t="s">
        <v>1259</v>
      </c>
      <c r="M237" s="105" t="s">
        <v>1261</v>
      </c>
      <c r="N237" s="164" t="s">
        <v>1260</v>
      </c>
    </row>
    <row r="238" spans="2:24" ht="24.95" customHeight="1" x14ac:dyDescent="0.3">
      <c r="B238" s="118"/>
      <c r="C238" s="123" t="s">
        <v>1535</v>
      </c>
      <c r="D238" s="133" t="s">
        <v>1534</v>
      </c>
      <c r="E238" s="221" t="s">
        <v>1744</v>
      </c>
      <c r="F238" s="166" t="s">
        <v>1530</v>
      </c>
      <c r="G238" s="166" t="s">
        <v>1530</v>
      </c>
      <c r="H238" s="109" t="s">
        <v>1606</v>
      </c>
      <c r="I238" s="124" t="s">
        <v>1533</v>
      </c>
      <c r="J238" s="124" t="s">
        <v>1265</v>
      </c>
      <c r="K238" s="109" t="s">
        <v>1266</v>
      </c>
      <c r="L238" s="109" t="s">
        <v>1267</v>
      </c>
      <c r="M238" s="124" t="s">
        <v>1531</v>
      </c>
      <c r="N238" s="124" t="s">
        <v>1532</v>
      </c>
      <c r="R238" s="119"/>
    </row>
    <row r="239" spans="2:24" ht="24.95" customHeight="1" x14ac:dyDescent="0.3">
      <c r="C239" s="23" t="s">
        <v>1785</v>
      </c>
      <c r="D239" s="130" t="s">
        <v>1789</v>
      </c>
      <c r="E239" s="224" t="s">
        <v>1782</v>
      </c>
      <c r="F239" s="167">
        <v>859454</v>
      </c>
      <c r="G239" s="167">
        <v>859454</v>
      </c>
      <c r="H239" s="20" t="s">
        <v>1246</v>
      </c>
      <c r="I239" s="20" t="s">
        <v>1895</v>
      </c>
      <c r="J239" s="20">
        <v>11111</v>
      </c>
      <c r="K239" s="20" t="s">
        <v>1901</v>
      </c>
      <c r="L239" s="86">
        <v>45401.441666666666</v>
      </c>
      <c r="M239" s="20" t="s">
        <v>1268</v>
      </c>
      <c r="N239" s="20" t="s">
        <v>1177</v>
      </c>
    </row>
    <row r="240" spans="2:24" ht="24.95" customHeight="1" x14ac:dyDescent="0.3">
      <c r="C240" s="23" t="s">
        <v>1810</v>
      </c>
      <c r="D240" s="130" t="s">
        <v>1813</v>
      </c>
      <c r="E240" s="224" t="s">
        <v>1807</v>
      </c>
      <c r="F240" s="167">
        <v>65165</v>
      </c>
      <c r="G240" s="167">
        <v>65165</v>
      </c>
      <c r="H240" s="20" t="s">
        <v>1247</v>
      </c>
      <c r="I240" s="20" t="s">
        <v>1904</v>
      </c>
      <c r="J240" s="20">
        <v>11111</v>
      </c>
      <c r="K240" s="20" t="s">
        <v>1916</v>
      </c>
      <c r="L240" s="86">
        <f>L239-30</f>
        <v>45371.441666666666</v>
      </c>
      <c r="M240" s="20" t="s">
        <v>1269</v>
      </c>
      <c r="N240" s="20" t="s">
        <v>1177</v>
      </c>
      <c r="O240" s="89"/>
      <c r="P240" s="89"/>
      <c r="Q240" s="175"/>
      <c r="R240" s="175"/>
      <c r="S240" s="175"/>
      <c r="T240" s="175"/>
      <c r="U240" s="175"/>
      <c r="V240" s="175"/>
      <c r="W240" s="175"/>
      <c r="X240" s="175"/>
    </row>
    <row r="241" spans="1:24" ht="24.95" customHeight="1" x14ac:dyDescent="0.3">
      <c r="A241" s="87" t="s">
        <v>1264</v>
      </c>
      <c r="C241" s="23" t="s">
        <v>1834</v>
      </c>
      <c r="D241" s="130" t="s">
        <v>1837</v>
      </c>
      <c r="E241" s="224" t="s">
        <v>1831</v>
      </c>
      <c r="F241" s="167">
        <v>65165</v>
      </c>
      <c r="G241" s="167">
        <v>65165</v>
      </c>
      <c r="H241" s="20" t="s">
        <v>1248</v>
      </c>
      <c r="I241" s="20" t="s">
        <v>1919</v>
      </c>
      <c r="J241" s="20">
        <v>11111</v>
      </c>
      <c r="K241" s="20" t="s">
        <v>1929</v>
      </c>
      <c r="L241" s="86">
        <f>L239+10</f>
        <v>45411.441666666666</v>
      </c>
      <c r="M241" s="20" t="s">
        <v>1271</v>
      </c>
      <c r="N241" s="20" t="s">
        <v>1270</v>
      </c>
      <c r="O241" s="89"/>
      <c r="P241" s="89"/>
      <c r="Q241" s="175"/>
      <c r="R241" s="176"/>
      <c r="S241" s="175"/>
      <c r="T241" s="176"/>
      <c r="U241" s="175"/>
      <c r="V241" s="176"/>
      <c r="W241" s="175"/>
      <c r="X241" s="175"/>
    </row>
    <row r="242" spans="1:24" ht="24.95" customHeight="1" x14ac:dyDescent="0.3">
      <c r="A242" s="87" t="s">
        <v>1264</v>
      </c>
      <c r="C242" s="23" t="s">
        <v>1850</v>
      </c>
      <c r="D242" s="130" t="s">
        <v>1854</v>
      </c>
      <c r="E242" s="224" t="s">
        <v>1847</v>
      </c>
      <c r="F242" s="167">
        <v>65165</v>
      </c>
      <c r="G242" s="167">
        <v>65165</v>
      </c>
      <c r="H242" s="20" t="s">
        <v>1249</v>
      </c>
      <c r="I242" s="20" t="s">
        <v>1930</v>
      </c>
      <c r="J242" s="20">
        <v>11111</v>
      </c>
      <c r="K242" s="20" t="s">
        <v>1936</v>
      </c>
      <c r="L242" s="86">
        <f>L239-50</f>
        <v>45351.441666666666</v>
      </c>
      <c r="M242" s="20"/>
      <c r="N242" s="20"/>
      <c r="O242" s="89"/>
      <c r="P242" s="89"/>
      <c r="R242" s="174"/>
    </row>
    <row r="243" spans="1:24" ht="24.95" customHeight="1" x14ac:dyDescent="0.3">
      <c r="C243" s="23" t="s">
        <v>1864</v>
      </c>
      <c r="D243" s="130" t="s">
        <v>1868</v>
      </c>
      <c r="E243" s="224" t="s">
        <v>1861</v>
      </c>
      <c r="F243" s="167">
        <v>65165</v>
      </c>
      <c r="G243" s="167">
        <v>65165</v>
      </c>
      <c r="H243" s="20" t="s">
        <v>1247</v>
      </c>
      <c r="I243" s="20" t="s">
        <v>1937</v>
      </c>
      <c r="J243" s="20">
        <v>11111</v>
      </c>
      <c r="K243" s="20" t="s">
        <v>1943</v>
      </c>
      <c r="L243" s="86">
        <f>L242-50</f>
        <v>45301.441666666666</v>
      </c>
      <c r="M243" s="20"/>
      <c r="N243" s="20"/>
      <c r="O243" s="89"/>
      <c r="P243" s="89"/>
      <c r="R243" s="174"/>
    </row>
    <row r="244" spans="1:24" ht="24.95" customHeight="1" x14ac:dyDescent="0.3"/>
    <row r="245" spans="1:24" ht="24.95" customHeight="1" x14ac:dyDescent="0.3">
      <c r="B245" s="200" t="s">
        <v>1654</v>
      </c>
      <c r="C245" s="208" t="s">
        <v>297</v>
      </c>
      <c r="D245" s="20" t="s">
        <v>1692</v>
      </c>
      <c r="E245" s="126" t="s">
        <v>299</v>
      </c>
      <c r="F245" s="20" t="s">
        <v>1752</v>
      </c>
    </row>
    <row r="246" spans="1:24" ht="24.95" customHeight="1" x14ac:dyDescent="0.3">
      <c r="B246" s="201" t="s">
        <v>1689</v>
      </c>
      <c r="C246" s="121" t="s">
        <v>1688</v>
      </c>
      <c r="D246" s="105" t="s">
        <v>1691</v>
      </c>
      <c r="E246" s="105" t="s">
        <v>1262</v>
      </c>
      <c r="F246" s="111" t="s">
        <v>1526</v>
      </c>
      <c r="G246" s="111" t="s">
        <v>1736</v>
      </c>
      <c r="H246" s="118"/>
      <c r="I246" s="346" t="s">
        <v>1761</v>
      </c>
      <c r="J246" s="118"/>
      <c r="K246" s="118"/>
      <c r="L246" s="118"/>
      <c r="M246" s="118"/>
      <c r="N246" s="118"/>
    </row>
    <row r="247" spans="1:24" ht="24.95" customHeight="1" x14ac:dyDescent="0.3">
      <c r="B247" s="118"/>
      <c r="C247" s="123" t="s">
        <v>1753</v>
      </c>
      <c r="D247" s="133" t="s">
        <v>1690</v>
      </c>
      <c r="E247" s="154" t="s">
        <v>1537</v>
      </c>
      <c r="F247" s="109" t="s">
        <v>1759</v>
      </c>
      <c r="G247" s="109" t="s">
        <v>1760</v>
      </c>
      <c r="H247" s="118"/>
      <c r="I247" s="347"/>
      <c r="J247" s="129"/>
      <c r="K247" s="118"/>
      <c r="L247" s="118"/>
      <c r="M247" s="129"/>
      <c r="N247" s="129"/>
      <c r="R247" s="119"/>
    </row>
    <row r="248" spans="1:24" ht="24.95" customHeight="1" x14ac:dyDescent="0.3">
      <c r="C248" s="23" t="s">
        <v>1754</v>
      </c>
      <c r="D248" s="130" t="s">
        <v>1785</v>
      </c>
      <c r="E248" s="20" t="s">
        <v>1783</v>
      </c>
      <c r="F248" s="20" t="s">
        <v>1367</v>
      </c>
      <c r="G248" s="213" t="s">
        <v>1737</v>
      </c>
      <c r="I248" s="347"/>
      <c r="L248" s="207"/>
    </row>
    <row r="249" spans="1:24" ht="24.95" customHeight="1" x14ac:dyDescent="0.3">
      <c r="C249" s="23" t="s">
        <v>1755</v>
      </c>
      <c r="D249" s="130" t="s">
        <v>1785</v>
      </c>
      <c r="E249" s="20" t="s">
        <v>1808</v>
      </c>
      <c r="F249" s="20" t="s">
        <v>1368</v>
      </c>
      <c r="G249" s="214" t="s">
        <v>1738</v>
      </c>
      <c r="I249" s="347"/>
      <c r="L249" s="207"/>
      <c r="O249" s="89"/>
      <c r="P249" s="89"/>
      <c r="Q249" s="175"/>
      <c r="R249" s="175"/>
      <c r="S249" s="175"/>
      <c r="T249" s="175"/>
      <c r="U249" s="175"/>
      <c r="V249" s="175"/>
      <c r="W249" s="175"/>
      <c r="X249" s="175"/>
    </row>
    <row r="250" spans="1:24" ht="24.95" customHeight="1" x14ac:dyDescent="0.3">
      <c r="A250" s="87" t="s">
        <v>1264</v>
      </c>
      <c r="C250" s="23" t="s">
        <v>1756</v>
      </c>
      <c r="D250" s="130" t="s">
        <v>1785</v>
      </c>
      <c r="E250" s="20" t="s">
        <v>1832</v>
      </c>
      <c r="F250" s="20" t="s">
        <v>1527</v>
      </c>
      <c r="G250" s="214" t="s">
        <v>1738</v>
      </c>
      <c r="I250" s="347"/>
      <c r="L250" s="207"/>
      <c r="O250" s="89"/>
      <c r="P250" s="89"/>
      <c r="Q250" s="175"/>
      <c r="R250" s="176"/>
      <c r="S250" s="175"/>
      <c r="T250" s="176"/>
      <c r="U250" s="175"/>
      <c r="V250" s="176"/>
      <c r="W250" s="175"/>
      <c r="X250" s="175"/>
    </row>
    <row r="251" spans="1:24" ht="24.95" customHeight="1" x14ac:dyDescent="0.3">
      <c r="A251" s="87" t="s">
        <v>1264</v>
      </c>
      <c r="C251" s="23" t="s">
        <v>1757</v>
      </c>
      <c r="D251" s="130" t="s">
        <v>1810</v>
      </c>
      <c r="E251" s="20" t="s">
        <v>1848</v>
      </c>
      <c r="F251" s="20" t="s">
        <v>1528</v>
      </c>
      <c r="G251" s="214" t="s">
        <v>1738</v>
      </c>
      <c r="I251" s="347"/>
      <c r="L251" s="207"/>
      <c r="O251" s="89"/>
      <c r="P251" s="89"/>
      <c r="R251" s="174"/>
    </row>
    <row r="252" spans="1:24" ht="24.95" customHeight="1" x14ac:dyDescent="0.3">
      <c r="C252" s="23" t="s">
        <v>1758</v>
      </c>
      <c r="D252" s="130" t="s">
        <v>1810</v>
      </c>
      <c r="E252" s="20" t="s">
        <v>1862</v>
      </c>
      <c r="F252" s="20" t="s">
        <v>1529</v>
      </c>
      <c r="G252" s="214" t="s">
        <v>1738</v>
      </c>
      <c r="I252" s="347"/>
      <c r="L252" s="207"/>
      <c r="O252" s="89"/>
      <c r="P252" s="89"/>
      <c r="R252" s="174"/>
    </row>
    <row r="253" spans="1:24" ht="24.95" customHeight="1" x14ac:dyDescent="0.3"/>
    <row r="254" spans="1:24" ht="24.95" customHeight="1" x14ac:dyDescent="0.3">
      <c r="B254" s="200" t="s">
        <v>1656</v>
      </c>
      <c r="C254" s="120" t="s">
        <v>297</v>
      </c>
      <c r="D254" s="104" t="s">
        <v>1354</v>
      </c>
      <c r="E254" s="120" t="s">
        <v>299</v>
      </c>
      <c r="F254" s="104" t="s">
        <v>1556</v>
      </c>
    </row>
    <row r="255" spans="1:24" ht="24.95" customHeight="1" x14ac:dyDescent="0.3">
      <c r="B255" s="201" t="s">
        <v>1655</v>
      </c>
      <c r="C255" s="121" t="s">
        <v>547</v>
      </c>
      <c r="D255" s="164" t="s">
        <v>1239</v>
      </c>
      <c r="E255" s="105" t="s">
        <v>1234</v>
      </c>
      <c r="F255" s="105" t="s">
        <v>1235</v>
      </c>
      <c r="G255" s="105" t="s">
        <v>1694</v>
      </c>
      <c r="H255" s="105" t="s">
        <v>1671</v>
      </c>
      <c r="I255" s="105" t="s">
        <v>1236</v>
      </c>
      <c r="J255" s="105" t="s">
        <v>1237</v>
      </c>
      <c r="K255" s="105" t="s">
        <v>1238</v>
      </c>
    </row>
    <row r="256" spans="1:24" ht="24.95" customHeight="1" x14ac:dyDescent="0.3">
      <c r="C256" s="123" t="s">
        <v>1557</v>
      </c>
      <c r="D256" s="146" t="s">
        <v>1558</v>
      </c>
      <c r="E256" s="109" t="s">
        <v>1559</v>
      </c>
      <c r="F256" s="147" t="s">
        <v>1560</v>
      </c>
      <c r="G256" s="219" t="s">
        <v>1695</v>
      </c>
      <c r="H256" s="222" t="s">
        <v>1672</v>
      </c>
      <c r="I256" s="124" t="s">
        <v>1563</v>
      </c>
      <c r="J256" s="109" t="s">
        <v>1561</v>
      </c>
      <c r="K256" s="109" t="s">
        <v>1562</v>
      </c>
    </row>
    <row r="257" spans="2:24" ht="24.95" customHeight="1" x14ac:dyDescent="0.3">
      <c r="B257" s="118"/>
      <c r="C257" s="23" t="s">
        <v>1784</v>
      </c>
      <c r="D257" s="20" t="s">
        <v>1789</v>
      </c>
      <c r="E257" s="163">
        <v>45401.441666666666</v>
      </c>
      <c r="F257" s="20" t="s">
        <v>1785</v>
      </c>
      <c r="G257" s="223" t="s">
        <v>1696</v>
      </c>
      <c r="H257" s="215">
        <v>0</v>
      </c>
      <c r="I257" s="20">
        <v>5000</v>
      </c>
      <c r="J257" s="20" t="s">
        <v>548</v>
      </c>
      <c r="K257" s="20" t="s">
        <v>549</v>
      </c>
      <c r="L257" s="118"/>
      <c r="V257" s="118"/>
      <c r="W257" s="118"/>
      <c r="X257" s="118"/>
    </row>
    <row r="258" spans="2:24" ht="24.95" customHeight="1" x14ac:dyDescent="0.3">
      <c r="C258" s="23" t="s">
        <v>1809</v>
      </c>
      <c r="D258" s="20" t="s">
        <v>1813</v>
      </c>
      <c r="E258" s="163">
        <f>E257-20</f>
        <v>45381.441666666666</v>
      </c>
      <c r="F258" s="20" t="s">
        <v>1810</v>
      </c>
      <c r="G258" s="223" t="s">
        <v>1697</v>
      </c>
      <c r="H258" s="215">
        <v>500</v>
      </c>
      <c r="I258" s="20">
        <v>2000</v>
      </c>
      <c r="J258" s="20" t="s">
        <v>550</v>
      </c>
      <c r="K258" s="20" t="s">
        <v>549</v>
      </c>
      <c r="L258" s="118"/>
      <c r="O258" s="118"/>
      <c r="P258" s="129"/>
      <c r="Q258" s="118"/>
      <c r="R258" s="129"/>
      <c r="S258" s="118"/>
      <c r="T258" s="129"/>
      <c r="U258" s="118"/>
      <c r="V258" s="129"/>
      <c r="W258" s="118"/>
      <c r="X258" s="118"/>
    </row>
    <row r="259" spans="2:24" ht="24.95" customHeight="1" x14ac:dyDescent="0.3">
      <c r="C259" s="23" t="s">
        <v>1833</v>
      </c>
      <c r="D259" s="20" t="s">
        <v>1837</v>
      </c>
      <c r="E259" s="163">
        <f>E257-65</f>
        <v>45336.441666666666</v>
      </c>
      <c r="F259" s="20" t="s">
        <v>1834</v>
      </c>
      <c r="G259" s="223" t="s">
        <v>1698</v>
      </c>
      <c r="H259" s="215">
        <v>0</v>
      </c>
      <c r="I259" s="20">
        <v>2500</v>
      </c>
      <c r="J259" s="20" t="s">
        <v>551</v>
      </c>
      <c r="K259" s="20" t="s">
        <v>552</v>
      </c>
      <c r="R259" s="119"/>
    </row>
    <row r="260" spans="2:24" ht="24.95" customHeight="1" x14ac:dyDescent="0.3">
      <c r="C260" s="23" t="s">
        <v>1849</v>
      </c>
      <c r="D260" s="20" t="s">
        <v>1854</v>
      </c>
      <c r="E260" s="163">
        <f>E257-120</f>
        <v>45281.441666666666</v>
      </c>
      <c r="F260" s="20" t="s">
        <v>1850</v>
      </c>
      <c r="G260" s="223" t="s">
        <v>1699</v>
      </c>
      <c r="H260" s="215">
        <v>0</v>
      </c>
      <c r="I260" s="20">
        <v>2500</v>
      </c>
      <c r="J260" s="20" t="s">
        <v>551</v>
      </c>
      <c r="K260" s="20" t="s">
        <v>553</v>
      </c>
      <c r="R260" s="119"/>
    </row>
    <row r="261" spans="2:24" ht="24.95" customHeight="1" x14ac:dyDescent="0.3">
      <c r="C261" s="23" t="s">
        <v>1863</v>
      </c>
      <c r="D261" s="20" t="s">
        <v>1917</v>
      </c>
      <c r="E261" s="163">
        <v>45376</v>
      </c>
      <c r="F261" s="20" t="s">
        <v>1864</v>
      </c>
      <c r="G261" s="223" t="s">
        <v>1697</v>
      </c>
      <c r="H261" s="215">
        <v>0</v>
      </c>
      <c r="I261" s="20">
        <v>2500</v>
      </c>
      <c r="J261" s="20" t="s">
        <v>551</v>
      </c>
      <c r="K261" s="20" t="s">
        <v>553</v>
      </c>
      <c r="R261" s="119"/>
    </row>
    <row r="262" spans="2:24" ht="24.95" customHeight="1" x14ac:dyDescent="0.3">
      <c r="C262" s="23" t="s">
        <v>1873</v>
      </c>
      <c r="D262" s="20" t="s">
        <v>1917</v>
      </c>
      <c r="E262" s="163">
        <v>45376</v>
      </c>
      <c r="F262" s="20" t="s">
        <v>1874</v>
      </c>
      <c r="G262" s="223" t="s">
        <v>1696</v>
      </c>
      <c r="H262" s="215">
        <v>0</v>
      </c>
      <c r="I262" s="20">
        <v>2500</v>
      </c>
      <c r="J262" s="20" t="s">
        <v>551</v>
      </c>
      <c r="K262" s="20" t="s">
        <v>553</v>
      </c>
    </row>
    <row r="263" spans="2:24" ht="24.95" customHeight="1" x14ac:dyDescent="0.3"/>
    <row r="264" spans="2:24" s="102" customFormat="1" ht="24.95" customHeight="1" x14ac:dyDescent="0.3">
      <c r="B264" s="200" t="s">
        <v>1658</v>
      </c>
      <c r="C264" s="120" t="s">
        <v>297</v>
      </c>
      <c r="D264" s="104" t="s">
        <v>1362</v>
      </c>
      <c r="E264" s="120" t="s">
        <v>299</v>
      </c>
      <c r="F264" s="104" t="s">
        <v>1565</v>
      </c>
      <c r="G264" s="87"/>
      <c r="H264" s="87"/>
      <c r="I264" s="87"/>
      <c r="J264" s="87"/>
      <c r="K264" s="87"/>
      <c r="L264" s="87"/>
      <c r="M264" s="87"/>
      <c r="N264" s="87"/>
      <c r="O264" s="87"/>
      <c r="P264" s="87"/>
    </row>
    <row r="265" spans="2:24" ht="24.95" customHeight="1" x14ac:dyDescent="0.3">
      <c r="B265" s="201" t="s">
        <v>1657</v>
      </c>
      <c r="C265" s="121" t="s">
        <v>1543</v>
      </c>
      <c r="D265" s="105" t="s">
        <v>1544</v>
      </c>
      <c r="E265" s="105" t="s">
        <v>1199</v>
      </c>
      <c r="F265" s="105" t="s">
        <v>1356</v>
      </c>
      <c r="G265" s="105" t="s">
        <v>1369</v>
      </c>
      <c r="H265" s="177"/>
      <c r="I265" s="118"/>
      <c r="J265" s="118"/>
      <c r="K265" s="118"/>
      <c r="L265" s="118"/>
    </row>
    <row r="266" spans="2:24" ht="24.95" customHeight="1" x14ac:dyDescent="0.3">
      <c r="C266" s="123" t="s">
        <v>1542</v>
      </c>
      <c r="D266" s="152" t="s">
        <v>1545</v>
      </c>
      <c r="E266" s="124" t="s">
        <v>1365</v>
      </c>
      <c r="F266" s="124" t="s">
        <v>1364</v>
      </c>
      <c r="G266" s="124" t="s">
        <v>1363</v>
      </c>
      <c r="H266" s="129"/>
      <c r="I266" s="129"/>
      <c r="J266" s="129"/>
    </row>
    <row r="267" spans="2:24" ht="24.95" customHeight="1" x14ac:dyDescent="0.3">
      <c r="C267" s="23" t="s">
        <v>1786</v>
      </c>
      <c r="D267" s="171" t="s">
        <v>1769</v>
      </c>
      <c r="E267" s="20" t="s">
        <v>1357</v>
      </c>
      <c r="F267" s="20">
        <v>20000</v>
      </c>
      <c r="G267" s="20" t="s">
        <v>1366</v>
      </c>
      <c r="J267" s="178"/>
    </row>
    <row r="268" spans="2:24" ht="24.95" customHeight="1" x14ac:dyDescent="0.3">
      <c r="C268" s="23" t="s">
        <v>1786</v>
      </c>
      <c r="D268" s="171" t="s">
        <v>1794</v>
      </c>
      <c r="E268" s="20" t="s">
        <v>1358</v>
      </c>
      <c r="F268" s="20">
        <v>10000</v>
      </c>
      <c r="G268" s="20" t="s">
        <v>1372</v>
      </c>
      <c r="J268" s="178"/>
    </row>
    <row r="269" spans="2:24" ht="24.95" customHeight="1" x14ac:dyDescent="0.3">
      <c r="C269" s="23" t="s">
        <v>1786</v>
      </c>
      <c r="D269" s="171" t="s">
        <v>1818</v>
      </c>
      <c r="E269" s="20" t="s">
        <v>1361</v>
      </c>
      <c r="F269" s="20">
        <v>20000</v>
      </c>
      <c r="G269" s="20" t="s">
        <v>1371</v>
      </c>
      <c r="J269" s="178"/>
    </row>
    <row r="270" spans="2:24" ht="24.95" customHeight="1" x14ac:dyDescent="0.3">
      <c r="C270" s="23" t="s">
        <v>1851</v>
      </c>
      <c r="D270" s="171" t="s">
        <v>1841</v>
      </c>
      <c r="E270" s="20" t="s">
        <v>1359</v>
      </c>
      <c r="F270" s="20">
        <v>30000</v>
      </c>
      <c r="G270" s="20" t="s">
        <v>1373</v>
      </c>
      <c r="J270" s="178"/>
    </row>
    <row r="271" spans="2:24" ht="24.95" customHeight="1" x14ac:dyDescent="0.3">
      <c r="C271" s="23" t="s">
        <v>1865</v>
      </c>
      <c r="D271" s="171" t="s">
        <v>1858</v>
      </c>
      <c r="E271" s="20" t="s">
        <v>1360</v>
      </c>
      <c r="F271" s="20">
        <v>20000</v>
      </c>
      <c r="G271" s="20" t="s">
        <v>1370</v>
      </c>
      <c r="J271" s="178"/>
    </row>
    <row r="272" spans="2:24" ht="24.95" customHeight="1" x14ac:dyDescent="0.3"/>
    <row r="273" spans="2:24" s="102" customFormat="1" ht="24.95" customHeight="1" x14ac:dyDescent="0.3">
      <c r="B273" s="200" t="s">
        <v>1660</v>
      </c>
      <c r="C273" s="120" t="s">
        <v>297</v>
      </c>
      <c r="D273" s="104" t="s">
        <v>554</v>
      </c>
      <c r="E273" s="120" t="s">
        <v>299</v>
      </c>
      <c r="F273" s="104" t="s">
        <v>1566</v>
      </c>
      <c r="G273" s="87"/>
      <c r="H273" s="87"/>
      <c r="I273" s="87"/>
      <c r="J273" s="87"/>
      <c r="K273" s="87"/>
      <c r="L273" s="87"/>
      <c r="M273" s="87"/>
      <c r="N273" s="87"/>
      <c r="O273" s="87"/>
      <c r="P273" s="87"/>
    </row>
    <row r="274" spans="2:24" ht="24.95" customHeight="1" x14ac:dyDescent="0.3">
      <c r="B274" s="201" t="s">
        <v>1659</v>
      </c>
      <c r="C274" s="121" t="s">
        <v>1551</v>
      </c>
      <c r="D274" s="105" t="s">
        <v>1550</v>
      </c>
      <c r="E274" s="105" t="s">
        <v>1549</v>
      </c>
      <c r="F274" s="105" t="s">
        <v>555</v>
      </c>
      <c r="G274" s="105" t="s">
        <v>556</v>
      </c>
      <c r="H274" s="105" t="s">
        <v>557</v>
      </c>
      <c r="I274" s="105" t="s">
        <v>1195</v>
      </c>
      <c r="J274" s="105" t="s">
        <v>1272</v>
      </c>
      <c r="K274" s="118"/>
      <c r="L274" s="118"/>
      <c r="M274" s="118"/>
      <c r="N274" s="118"/>
      <c r="O274" s="118"/>
      <c r="P274" s="118"/>
    </row>
    <row r="275" spans="2:24" ht="24.95" customHeight="1" x14ac:dyDescent="0.3">
      <c r="C275" s="123" t="s">
        <v>1546</v>
      </c>
      <c r="D275" s="152" t="s">
        <v>1547</v>
      </c>
      <c r="E275" s="152" t="s">
        <v>1548</v>
      </c>
      <c r="F275" s="124" t="s">
        <v>1552</v>
      </c>
      <c r="G275" s="124" t="s">
        <v>1553</v>
      </c>
      <c r="H275" s="124" t="s">
        <v>1554</v>
      </c>
      <c r="I275" s="124" t="s">
        <v>1196</v>
      </c>
      <c r="J275" s="124" t="s">
        <v>1555</v>
      </c>
    </row>
    <row r="276" spans="2:24" ht="24.95" customHeight="1" x14ac:dyDescent="0.3">
      <c r="C276" s="23" t="s">
        <v>1787</v>
      </c>
      <c r="D276" s="171" t="s">
        <v>1786</v>
      </c>
      <c r="E276" s="20" t="s">
        <v>1881</v>
      </c>
      <c r="F276" s="86">
        <v>45039</v>
      </c>
      <c r="G276" s="86">
        <f>F276+10</f>
        <v>45049</v>
      </c>
      <c r="H276" s="20" t="s">
        <v>1984</v>
      </c>
      <c r="I276" s="20" t="s">
        <v>1197</v>
      </c>
      <c r="J276" s="110" t="s">
        <v>1273</v>
      </c>
    </row>
    <row r="277" spans="2:24" ht="24.95" customHeight="1" x14ac:dyDescent="0.3">
      <c r="C277" s="23" t="s">
        <v>1811</v>
      </c>
      <c r="D277" s="171" t="s">
        <v>1786</v>
      </c>
      <c r="E277" s="20" t="s">
        <v>1902</v>
      </c>
      <c r="F277" s="86">
        <v>45040</v>
      </c>
      <c r="G277" s="86">
        <f t="shared" ref="G277:G278" si="1">F277+10</f>
        <v>45050</v>
      </c>
      <c r="H277" s="20" t="s">
        <v>1985</v>
      </c>
      <c r="I277" s="20" t="s">
        <v>1198</v>
      </c>
      <c r="J277" s="110" t="s">
        <v>1274</v>
      </c>
    </row>
    <row r="278" spans="2:24" ht="24.95" customHeight="1" x14ac:dyDescent="0.3">
      <c r="C278" s="23" t="s">
        <v>1835</v>
      </c>
      <c r="D278" s="171" t="s">
        <v>1786</v>
      </c>
      <c r="E278" s="20" t="s">
        <v>1918</v>
      </c>
      <c r="F278" s="86">
        <v>45041</v>
      </c>
      <c r="G278" s="86">
        <f t="shared" si="1"/>
        <v>45051</v>
      </c>
      <c r="H278" s="20" t="s">
        <v>1986</v>
      </c>
      <c r="I278" s="20" t="s">
        <v>1197</v>
      </c>
      <c r="J278" s="110" t="s">
        <v>1275</v>
      </c>
    </row>
    <row r="279" spans="2:24" ht="24.95" customHeight="1" x14ac:dyDescent="0.3"/>
    <row r="280" spans="2:24" ht="24.95" customHeight="1" x14ac:dyDescent="0.3">
      <c r="B280" s="200" t="s">
        <v>1693</v>
      </c>
      <c r="C280" s="120" t="s">
        <v>297</v>
      </c>
      <c r="D280" s="104" t="s">
        <v>1355</v>
      </c>
      <c r="E280" s="120" t="s">
        <v>299</v>
      </c>
      <c r="F280" s="104" t="s">
        <v>1564</v>
      </c>
    </row>
    <row r="281" spans="2:24" ht="24.95" customHeight="1" x14ac:dyDescent="0.3">
      <c r="B281" s="201" t="s">
        <v>1661</v>
      </c>
      <c r="C281" s="121" t="s">
        <v>547</v>
      </c>
      <c r="D281" s="164" t="s">
        <v>1577</v>
      </c>
      <c r="E281" s="105" t="s">
        <v>1573</v>
      </c>
      <c r="F281" s="105" t="s">
        <v>1569</v>
      </c>
      <c r="G281" s="105" t="s">
        <v>1673</v>
      </c>
      <c r="H281" s="105" t="s">
        <v>1236</v>
      </c>
      <c r="I281" s="105" t="s">
        <v>1234</v>
      </c>
      <c r="J281" s="105" t="s">
        <v>1237</v>
      </c>
      <c r="K281" s="105" t="s">
        <v>1238</v>
      </c>
      <c r="M281" s="118"/>
      <c r="N281" s="118"/>
      <c r="O281" s="118"/>
      <c r="P281" s="118"/>
      <c r="Q281" s="118"/>
      <c r="R281" s="118"/>
      <c r="S281" s="118"/>
      <c r="T281" s="118"/>
      <c r="U281" s="118"/>
      <c r="V281" s="118"/>
      <c r="W281" s="118"/>
      <c r="X281" s="118"/>
    </row>
    <row r="282" spans="2:24" ht="24.95" customHeight="1" x14ac:dyDescent="0.3">
      <c r="C282" s="123" t="s">
        <v>1575</v>
      </c>
      <c r="D282" s="146" t="s">
        <v>1576</v>
      </c>
      <c r="E282" s="147" t="s">
        <v>1574</v>
      </c>
      <c r="F282" s="124" t="s">
        <v>1568</v>
      </c>
      <c r="G282" s="222" t="s">
        <v>1674</v>
      </c>
      <c r="H282" s="124" t="s">
        <v>1570</v>
      </c>
      <c r="I282" s="109" t="s">
        <v>1567</v>
      </c>
      <c r="J282" s="109" t="s">
        <v>1571</v>
      </c>
      <c r="K282" s="109" t="s">
        <v>1572</v>
      </c>
      <c r="M282" s="118"/>
      <c r="N282" s="118"/>
      <c r="O282" s="118"/>
      <c r="P282" s="129"/>
      <c r="Q282" s="118"/>
      <c r="R282" s="129"/>
      <c r="S282" s="118"/>
      <c r="T282" s="129"/>
      <c r="U282" s="118"/>
      <c r="V282" s="129"/>
      <c r="W282" s="118"/>
      <c r="X282" s="118"/>
    </row>
    <row r="283" spans="2:24" ht="24.95" customHeight="1" x14ac:dyDescent="0.3">
      <c r="C283" s="23" t="s">
        <v>1788</v>
      </c>
      <c r="D283" s="20" t="s">
        <v>1789</v>
      </c>
      <c r="E283" s="20" t="s">
        <v>1787</v>
      </c>
      <c r="F283" s="20" t="s">
        <v>1357</v>
      </c>
      <c r="G283" s="20">
        <v>0</v>
      </c>
      <c r="H283" s="20">
        <v>5000</v>
      </c>
      <c r="I283" s="163">
        <v>45401.441666666666</v>
      </c>
      <c r="J283" s="20" t="s">
        <v>548</v>
      </c>
      <c r="K283" s="20" t="s">
        <v>549</v>
      </c>
      <c r="R283" s="119"/>
    </row>
    <row r="284" spans="2:24" ht="24.95" customHeight="1" x14ac:dyDescent="0.3">
      <c r="C284" s="23" t="s">
        <v>1812</v>
      </c>
      <c r="D284" s="20" t="s">
        <v>1813</v>
      </c>
      <c r="E284" s="20" t="s">
        <v>1811</v>
      </c>
      <c r="F284" s="20" t="s">
        <v>1358</v>
      </c>
      <c r="G284" s="20">
        <v>500</v>
      </c>
      <c r="H284" s="20">
        <v>2000</v>
      </c>
      <c r="I284" s="86">
        <f>I283-20</f>
        <v>45381.441666666666</v>
      </c>
      <c r="J284" s="151" t="s">
        <v>550</v>
      </c>
      <c r="K284" s="20" t="s">
        <v>549</v>
      </c>
      <c r="R284" s="119"/>
    </row>
    <row r="285" spans="2:24" ht="24.95" customHeight="1" x14ac:dyDescent="0.3">
      <c r="C285" s="23" t="s">
        <v>1836</v>
      </c>
      <c r="D285" s="20" t="s">
        <v>1837</v>
      </c>
      <c r="E285" s="20" t="s">
        <v>1835</v>
      </c>
      <c r="F285" s="20" t="s">
        <v>1361</v>
      </c>
      <c r="G285" s="20">
        <v>0</v>
      </c>
      <c r="H285" s="20">
        <v>2500</v>
      </c>
      <c r="I285" s="86">
        <f>I283-65</f>
        <v>45336.441666666666</v>
      </c>
      <c r="J285" s="151" t="s">
        <v>551</v>
      </c>
      <c r="K285" s="20" t="s">
        <v>552</v>
      </c>
      <c r="R285" s="119"/>
    </row>
    <row r="286" spans="2:24" ht="24.95" customHeight="1" x14ac:dyDescent="0.3">
      <c r="C286" s="23" t="s">
        <v>1852</v>
      </c>
      <c r="D286" s="20" t="s">
        <v>1854</v>
      </c>
      <c r="E286" s="20" t="s">
        <v>1853</v>
      </c>
      <c r="F286" s="20" t="s">
        <v>1359</v>
      </c>
      <c r="G286" s="20">
        <v>0</v>
      </c>
      <c r="H286" s="20">
        <v>2500</v>
      </c>
      <c r="I286" s="86">
        <f>I283-120</f>
        <v>45281.441666666666</v>
      </c>
      <c r="J286" s="151" t="s">
        <v>551</v>
      </c>
      <c r="K286" s="20" t="s">
        <v>553</v>
      </c>
      <c r="R286" s="119"/>
    </row>
    <row r="287" spans="2:24" ht="24.95" customHeight="1" x14ac:dyDescent="0.3">
      <c r="C287" s="23" t="s">
        <v>1866</v>
      </c>
      <c r="D287" s="20" t="s">
        <v>1917</v>
      </c>
      <c r="E287" s="20" t="s">
        <v>1867</v>
      </c>
      <c r="F287" s="104" t="s">
        <v>1987</v>
      </c>
      <c r="G287" s="20">
        <v>0</v>
      </c>
      <c r="H287" s="20">
        <v>2500</v>
      </c>
      <c r="I287" s="86">
        <v>45376</v>
      </c>
      <c r="J287" s="151" t="s">
        <v>551</v>
      </c>
      <c r="K287" s="20" t="s">
        <v>553</v>
      </c>
      <c r="R287" s="119"/>
    </row>
    <row r="288" spans="2:24" ht="24.95" customHeight="1" x14ac:dyDescent="0.3">
      <c r="C288" s="23" t="s">
        <v>1875</v>
      </c>
      <c r="D288" s="20" t="s">
        <v>1917</v>
      </c>
      <c r="E288" s="20" t="s">
        <v>1876</v>
      </c>
      <c r="F288" s="20" t="s">
        <v>1360</v>
      </c>
      <c r="G288" s="20">
        <v>0</v>
      </c>
      <c r="H288" s="20">
        <v>2500</v>
      </c>
      <c r="I288" s="86">
        <v>45376</v>
      </c>
      <c r="J288" s="151" t="s">
        <v>551</v>
      </c>
      <c r="K288" s="20" t="s">
        <v>553</v>
      </c>
      <c r="R288" s="119"/>
    </row>
    <row r="289" spans="4:7" ht="25.15" customHeight="1" x14ac:dyDescent="0.3"/>
    <row r="290" spans="4:7" ht="25.15" customHeight="1" x14ac:dyDescent="0.3">
      <c r="D290" s="89"/>
    </row>
    <row r="291" spans="4:7" ht="25.15" customHeight="1" x14ac:dyDescent="0.3">
      <c r="D291" s="89"/>
    </row>
    <row r="292" spans="4:7" ht="25.15" customHeight="1" x14ac:dyDescent="0.3">
      <c r="D292" s="89"/>
      <c r="E292" s="89"/>
      <c r="G292" s="89"/>
    </row>
    <row r="293" spans="4:7" ht="25.15" customHeight="1" x14ac:dyDescent="0.3">
      <c r="D293" s="89"/>
      <c r="E293" s="89"/>
      <c r="G293" s="89"/>
    </row>
    <row r="294" spans="4:7" ht="25.15" customHeight="1" x14ac:dyDescent="0.3">
      <c r="D294" s="89"/>
      <c r="E294" s="89"/>
      <c r="G294" s="89"/>
    </row>
    <row r="295" spans="4:7" ht="25.15" customHeight="1" x14ac:dyDescent="0.3">
      <c r="D295" s="89"/>
      <c r="E295" s="89"/>
      <c r="G295" s="89"/>
    </row>
    <row r="296" spans="4:7" ht="25.15" customHeight="1" x14ac:dyDescent="0.3">
      <c r="D296" s="89"/>
      <c r="E296" s="89"/>
      <c r="G296" s="89"/>
    </row>
    <row r="297" spans="4:7" ht="25.15" customHeight="1" x14ac:dyDescent="0.3">
      <c r="E297" s="89"/>
      <c r="G297" s="89"/>
    </row>
    <row r="298" spans="4:7" x14ac:dyDescent="0.3">
      <c r="E298" s="89"/>
      <c r="G298" s="89"/>
    </row>
    <row r="299" spans="4:7" x14ac:dyDescent="0.3">
      <c r="E299" s="89"/>
      <c r="G299" s="89"/>
    </row>
  </sheetData>
  <mergeCells count="1">
    <mergeCell ref="I246:I252"/>
  </mergeCells>
  <phoneticPr fontId="45" type="noConversion"/>
  <hyperlinks>
    <hyperlink ref="K24" r:id="rId1"/>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B71"/>
  <sheetViews>
    <sheetView zoomScale="85" zoomScaleNormal="85" workbookViewId="0">
      <selection activeCell="B4" sqref="B4"/>
    </sheetView>
  </sheetViews>
  <sheetFormatPr defaultRowHeight="16.5" x14ac:dyDescent="0.3"/>
  <cols>
    <col min="1" max="1" width="2.875" customWidth="1"/>
    <col min="2" max="2" width="8.875" customWidth="1"/>
    <col min="3" max="4" width="9" customWidth="1"/>
    <col min="5" max="1025" width="8.875" customWidth="1"/>
  </cols>
  <sheetData>
    <row r="2" spans="2:28" ht="24.95" customHeight="1" x14ac:dyDescent="0.3">
      <c r="B2" s="236" t="s">
        <v>0</v>
      </c>
      <c r="C2" s="236"/>
      <c r="D2" s="236"/>
      <c r="E2" s="237" t="s">
        <v>1</v>
      </c>
      <c r="F2" s="237"/>
      <c r="G2" s="237"/>
      <c r="H2" s="237"/>
      <c r="I2" s="237"/>
      <c r="J2" s="237"/>
      <c r="K2" s="237"/>
      <c r="L2" s="237"/>
      <c r="M2" s="237"/>
      <c r="N2" s="237"/>
      <c r="O2" s="237"/>
      <c r="P2" s="237"/>
      <c r="Q2" s="237"/>
      <c r="R2" s="237"/>
      <c r="S2" s="237"/>
      <c r="T2" s="237"/>
      <c r="U2" s="238" t="s">
        <v>2</v>
      </c>
      <c r="V2" s="238"/>
      <c r="W2" s="238"/>
      <c r="X2" s="239" t="str">
        <f>'00_팀프로젝트_큰틀'!P2</f>
        <v>홍길순</v>
      </c>
      <c r="Y2" s="239"/>
      <c r="Z2" s="239"/>
      <c r="AA2" s="239"/>
      <c r="AB2" s="239"/>
    </row>
    <row r="3" spans="2:28" ht="24.95" customHeight="1" x14ac:dyDescent="0.3">
      <c r="B3" s="240" t="s">
        <v>4</v>
      </c>
      <c r="C3" s="240"/>
      <c r="D3" s="240"/>
      <c r="E3" s="241" t="s">
        <v>5</v>
      </c>
      <c r="F3" s="241"/>
      <c r="G3" s="241"/>
      <c r="H3" s="241"/>
      <c r="I3" s="241"/>
      <c r="J3" s="241"/>
      <c r="K3" s="241"/>
      <c r="L3" s="241"/>
      <c r="M3" s="241"/>
      <c r="N3" s="241"/>
      <c r="O3" s="241"/>
      <c r="P3" s="241"/>
      <c r="Q3" s="241"/>
      <c r="R3" s="241"/>
      <c r="S3" s="241"/>
      <c r="T3" s="241"/>
      <c r="U3" s="242" t="s">
        <v>6</v>
      </c>
      <c r="V3" s="242"/>
      <c r="W3" s="242"/>
      <c r="X3" s="243">
        <v>44806</v>
      </c>
      <c r="Y3" s="243"/>
      <c r="Z3" s="243"/>
      <c r="AA3" s="243"/>
      <c r="AB3" s="243"/>
    </row>
    <row r="4" spans="2:28" ht="24.95" customHeight="1" x14ac:dyDescent="0.3">
      <c r="B4" s="361" t="s">
        <v>61</v>
      </c>
      <c r="C4" s="361"/>
      <c r="D4" s="361"/>
      <c r="E4" s="361"/>
      <c r="F4" s="361"/>
      <c r="G4" s="361"/>
      <c r="H4" s="361"/>
      <c r="I4" s="361"/>
      <c r="J4" s="361"/>
      <c r="K4" s="361"/>
      <c r="L4" s="361"/>
      <c r="M4" s="361"/>
      <c r="N4" s="361"/>
      <c r="O4" s="361"/>
      <c r="P4" s="361"/>
      <c r="Q4" s="361"/>
      <c r="R4" s="361"/>
      <c r="S4" s="361"/>
      <c r="T4" s="361"/>
      <c r="U4" s="361"/>
      <c r="V4" s="361"/>
      <c r="W4" s="361"/>
      <c r="X4" s="361"/>
      <c r="Y4" s="361"/>
      <c r="Z4" s="361"/>
      <c r="AA4" s="361"/>
      <c r="AB4" s="361"/>
    </row>
    <row r="5" spans="2:28" ht="24.95" customHeight="1" x14ac:dyDescent="0.3">
      <c r="B5" s="235" t="s">
        <v>560</v>
      </c>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row>
    <row r="6" spans="2:28" ht="24.95" customHeight="1" x14ac:dyDescent="0.3">
      <c r="B6" s="235"/>
      <c r="C6" s="235"/>
      <c r="D6" s="235"/>
      <c r="E6" s="235"/>
      <c r="F6" s="235"/>
      <c r="G6" s="235"/>
      <c r="H6" s="235"/>
      <c r="I6" s="235"/>
      <c r="J6" s="235"/>
      <c r="K6" s="235"/>
      <c r="L6" s="235"/>
      <c r="M6" s="235"/>
      <c r="N6" s="235"/>
      <c r="O6" s="235"/>
      <c r="P6" s="235"/>
      <c r="Q6" s="235"/>
      <c r="R6" s="235"/>
      <c r="S6" s="235"/>
      <c r="T6" s="235"/>
      <c r="U6" s="235"/>
      <c r="V6" s="235"/>
      <c r="W6" s="235"/>
      <c r="X6" s="235"/>
      <c r="Y6" s="235"/>
      <c r="Z6" s="235"/>
      <c r="AA6" s="235"/>
      <c r="AB6" s="235"/>
    </row>
    <row r="7" spans="2:28" ht="24.95" customHeight="1" x14ac:dyDescent="0.3">
      <c r="B7" s="235"/>
      <c r="C7" s="235"/>
      <c r="D7" s="235"/>
      <c r="E7" s="235"/>
      <c r="F7" s="235"/>
      <c r="G7" s="235"/>
      <c r="H7" s="235"/>
      <c r="I7" s="235"/>
      <c r="J7" s="235"/>
      <c r="K7" s="235"/>
      <c r="L7" s="235"/>
      <c r="M7" s="235"/>
      <c r="N7" s="235"/>
      <c r="O7" s="235"/>
      <c r="P7" s="235"/>
      <c r="Q7" s="235"/>
      <c r="R7" s="235"/>
      <c r="S7" s="235"/>
      <c r="T7" s="235"/>
      <c r="U7" s="235"/>
      <c r="V7" s="235"/>
      <c r="W7" s="235"/>
      <c r="X7" s="235"/>
      <c r="Y7" s="235"/>
      <c r="Z7" s="235"/>
      <c r="AA7" s="235"/>
      <c r="AB7" s="235"/>
    </row>
    <row r="8" spans="2:28" ht="24.95" customHeight="1" x14ac:dyDescent="0.3">
      <c r="B8" s="235"/>
      <c r="C8" s="235"/>
      <c r="D8" s="235"/>
      <c r="E8" s="235"/>
      <c r="F8" s="235"/>
      <c r="G8" s="235"/>
      <c r="H8" s="235"/>
      <c r="I8" s="235"/>
      <c r="J8" s="235"/>
      <c r="K8" s="235"/>
      <c r="L8" s="235"/>
      <c r="M8" s="235"/>
      <c r="N8" s="235"/>
      <c r="O8" s="235"/>
      <c r="P8" s="235"/>
      <c r="Q8" s="235"/>
      <c r="R8" s="235"/>
      <c r="S8" s="235"/>
      <c r="T8" s="235"/>
      <c r="U8" s="235"/>
      <c r="V8" s="235"/>
      <c r="W8" s="235"/>
      <c r="X8" s="235"/>
      <c r="Y8" s="235"/>
      <c r="Z8" s="235"/>
      <c r="AA8" s="235"/>
      <c r="AB8" s="235"/>
    </row>
    <row r="9" spans="2:28" ht="24.95" customHeight="1" x14ac:dyDescent="0.3">
      <c r="B9" s="235"/>
      <c r="C9" s="235"/>
      <c r="D9" s="235"/>
      <c r="E9" s="235"/>
      <c r="F9" s="235"/>
      <c r="G9" s="235"/>
      <c r="H9" s="235"/>
      <c r="I9" s="235"/>
      <c r="J9" s="235"/>
      <c r="K9" s="235"/>
      <c r="L9" s="235"/>
      <c r="M9" s="235"/>
      <c r="N9" s="235"/>
      <c r="O9" s="235"/>
      <c r="P9" s="235"/>
      <c r="Q9" s="235"/>
      <c r="R9" s="235"/>
      <c r="S9" s="235"/>
      <c r="T9" s="235"/>
      <c r="U9" s="235"/>
      <c r="V9" s="235"/>
      <c r="W9" s="235"/>
      <c r="X9" s="235"/>
      <c r="Y9" s="235"/>
      <c r="Z9" s="235"/>
      <c r="AA9" s="235"/>
      <c r="AB9" s="235"/>
    </row>
    <row r="10" spans="2:28" ht="24.95" customHeight="1" x14ac:dyDescent="0.3">
      <c r="B10" s="235"/>
      <c r="C10" s="235"/>
      <c r="D10" s="235"/>
      <c r="E10" s="235"/>
      <c r="F10" s="235"/>
      <c r="G10" s="235"/>
      <c r="H10" s="235"/>
      <c r="I10" s="235"/>
      <c r="J10" s="235"/>
      <c r="K10" s="235"/>
      <c r="L10" s="235"/>
      <c r="M10" s="235"/>
      <c r="N10" s="235"/>
      <c r="O10" s="235"/>
      <c r="P10" s="235"/>
      <c r="Q10" s="235"/>
      <c r="R10" s="235"/>
      <c r="S10" s="235"/>
      <c r="T10" s="235"/>
      <c r="U10" s="235"/>
      <c r="V10" s="235"/>
      <c r="W10" s="235"/>
      <c r="X10" s="235"/>
      <c r="Y10" s="235"/>
      <c r="Z10" s="235"/>
      <c r="AA10" s="235"/>
      <c r="AB10" s="235"/>
    </row>
    <row r="11" spans="2:28" ht="24.95" customHeight="1" x14ac:dyDescent="0.3">
      <c r="B11" s="361" t="s">
        <v>7</v>
      </c>
      <c r="C11" s="361"/>
      <c r="D11" s="361"/>
      <c r="E11" s="361"/>
      <c r="F11" s="361"/>
      <c r="G11" s="361"/>
      <c r="H11" s="361"/>
      <c r="I11" s="361"/>
      <c r="J11" s="361"/>
      <c r="K11" s="361"/>
      <c r="L11" s="361"/>
      <c r="M11" s="361"/>
      <c r="N11" s="361"/>
      <c r="O11" s="361"/>
      <c r="P11" s="361"/>
      <c r="Q11" s="361"/>
      <c r="R11" s="361"/>
      <c r="S11" s="361"/>
      <c r="T11" s="361"/>
      <c r="U11" s="361"/>
      <c r="V11" s="361"/>
      <c r="W11" s="361"/>
      <c r="X11" s="361"/>
      <c r="Y11" s="361"/>
      <c r="Z11" s="361"/>
      <c r="AA11" s="361"/>
      <c r="AB11" s="361"/>
    </row>
    <row r="12" spans="2:28" ht="24.95" customHeight="1" x14ac:dyDescent="0.3">
      <c r="B12" s="362" t="s">
        <v>561</v>
      </c>
      <c r="C12" s="362"/>
      <c r="D12" s="362"/>
      <c r="E12" s="362"/>
      <c r="F12" s="362"/>
      <c r="G12" s="362"/>
      <c r="H12" s="362"/>
      <c r="I12" s="362"/>
      <c r="J12" s="362"/>
      <c r="K12" s="362"/>
      <c r="L12" s="362"/>
      <c r="M12" s="362"/>
      <c r="N12" s="362"/>
      <c r="O12" s="362"/>
      <c r="P12" s="362"/>
      <c r="Q12" s="362"/>
      <c r="R12" s="362"/>
      <c r="S12" s="362"/>
      <c r="T12" s="362"/>
      <c r="U12" s="362"/>
      <c r="V12" s="362"/>
      <c r="W12" s="362"/>
      <c r="X12" s="362"/>
      <c r="Y12" s="362"/>
      <c r="Z12" s="362"/>
      <c r="AA12" s="362"/>
      <c r="AB12" s="362"/>
    </row>
    <row r="13" spans="2:28" ht="24.95" customHeight="1" x14ac:dyDescent="0.3">
      <c r="B13" s="25"/>
      <c r="C13" s="363" t="s">
        <v>562</v>
      </c>
      <c r="D13" s="363"/>
      <c r="E13" s="364" t="s">
        <v>563</v>
      </c>
      <c r="F13" s="364"/>
      <c r="G13" s="364" t="s">
        <v>564</v>
      </c>
      <c r="H13" s="364"/>
      <c r="I13" s="364"/>
      <c r="J13" s="364"/>
      <c r="K13" s="364"/>
      <c r="L13" s="364"/>
      <c r="M13" s="364"/>
      <c r="N13" s="364"/>
      <c r="O13" s="364"/>
      <c r="P13" s="364"/>
      <c r="Q13" s="364"/>
      <c r="R13" s="364"/>
      <c r="S13" s="364"/>
      <c r="T13" s="364"/>
      <c r="U13" s="365" t="s">
        <v>565</v>
      </c>
      <c r="V13" s="365"/>
      <c r="W13" s="365"/>
      <c r="X13" s="365"/>
      <c r="Y13" s="365"/>
      <c r="Z13" s="365"/>
      <c r="AA13" s="365"/>
      <c r="AB13" s="365"/>
    </row>
    <row r="14" spans="2:28" ht="24.95" customHeight="1" x14ac:dyDescent="0.3">
      <c r="B14" s="25"/>
      <c r="C14" s="366" t="s">
        <v>566</v>
      </c>
      <c r="D14" s="366"/>
      <c r="E14" s="367" t="s">
        <v>567</v>
      </c>
      <c r="F14" s="367"/>
      <c r="G14" s="368" t="s">
        <v>568</v>
      </c>
      <c r="H14" s="368"/>
      <c r="I14" s="368"/>
      <c r="J14" s="368"/>
      <c r="K14" s="368"/>
      <c r="L14" s="368"/>
      <c r="M14" s="368"/>
      <c r="N14" s="368"/>
      <c r="O14" s="368"/>
      <c r="P14" s="368"/>
      <c r="Q14" s="368"/>
      <c r="R14" s="368"/>
      <c r="S14" s="368"/>
      <c r="T14" s="368"/>
      <c r="U14" s="304"/>
      <c r="V14" s="304"/>
      <c r="W14" s="304"/>
      <c r="X14" s="304"/>
      <c r="Y14" s="304"/>
      <c r="Z14" s="304"/>
      <c r="AA14" s="304"/>
      <c r="AB14" s="304"/>
    </row>
    <row r="15" spans="2:28" ht="24.95" customHeight="1" x14ac:dyDescent="0.3">
      <c r="B15" s="25"/>
      <c r="C15" s="355" t="s">
        <v>569</v>
      </c>
      <c r="D15" s="355"/>
      <c r="E15" s="248" t="s">
        <v>570</v>
      </c>
      <c r="F15" s="248"/>
      <c r="G15" s="356" t="s">
        <v>571</v>
      </c>
      <c r="H15" s="356"/>
      <c r="I15" s="356"/>
      <c r="J15" s="356"/>
      <c r="K15" s="356"/>
      <c r="L15" s="356"/>
      <c r="M15" s="356"/>
      <c r="N15" s="356"/>
      <c r="O15" s="356"/>
      <c r="P15" s="356"/>
      <c r="Q15" s="356"/>
      <c r="R15" s="356"/>
      <c r="S15" s="356"/>
      <c r="T15" s="356"/>
      <c r="U15" s="313"/>
      <c r="V15" s="313"/>
      <c r="W15" s="313"/>
      <c r="X15" s="313"/>
      <c r="Y15" s="313"/>
      <c r="Z15" s="313"/>
      <c r="AA15" s="313"/>
      <c r="AB15" s="313"/>
    </row>
    <row r="16" spans="2:28" ht="24.95" customHeight="1" x14ac:dyDescent="0.3">
      <c r="B16" s="25"/>
      <c r="C16" s="355" t="s">
        <v>572</v>
      </c>
      <c r="D16" s="355"/>
      <c r="E16" s="248" t="s">
        <v>573</v>
      </c>
      <c r="F16" s="248"/>
      <c r="G16" s="356" t="s">
        <v>574</v>
      </c>
      <c r="H16" s="356"/>
      <c r="I16" s="356"/>
      <c r="J16" s="356"/>
      <c r="K16" s="356"/>
      <c r="L16" s="356"/>
      <c r="M16" s="356"/>
      <c r="N16" s="356"/>
      <c r="O16" s="356"/>
      <c r="P16" s="356"/>
      <c r="Q16" s="356"/>
      <c r="R16" s="356"/>
      <c r="S16" s="356"/>
      <c r="T16" s="356"/>
      <c r="U16" s="360" t="s">
        <v>575</v>
      </c>
      <c r="V16" s="360"/>
      <c r="W16" s="360"/>
      <c r="X16" s="360"/>
      <c r="Y16" s="360"/>
      <c r="Z16" s="360"/>
      <c r="AA16" s="360"/>
      <c r="AB16" s="360"/>
    </row>
    <row r="17" spans="2:28" ht="24.95" customHeight="1" x14ac:dyDescent="0.3">
      <c r="B17" s="25"/>
      <c r="C17" s="355" t="s">
        <v>576</v>
      </c>
      <c r="D17" s="355"/>
      <c r="E17" s="248" t="s">
        <v>577</v>
      </c>
      <c r="F17" s="248"/>
      <c r="G17" s="356" t="s">
        <v>578</v>
      </c>
      <c r="H17" s="356"/>
      <c r="I17" s="356"/>
      <c r="J17" s="356"/>
      <c r="K17" s="356"/>
      <c r="L17" s="356"/>
      <c r="M17" s="356"/>
      <c r="N17" s="356"/>
      <c r="O17" s="356"/>
      <c r="P17" s="356"/>
      <c r="Q17" s="356"/>
      <c r="R17" s="356"/>
      <c r="S17" s="356"/>
      <c r="T17" s="356"/>
      <c r="U17" s="360" t="s">
        <v>579</v>
      </c>
      <c r="V17" s="360"/>
      <c r="W17" s="360"/>
      <c r="X17" s="360"/>
      <c r="Y17" s="360"/>
      <c r="Z17" s="360"/>
      <c r="AA17" s="360"/>
      <c r="AB17" s="360"/>
    </row>
    <row r="18" spans="2:28" ht="24.95" customHeight="1" x14ac:dyDescent="0.3">
      <c r="B18" s="25"/>
      <c r="C18" s="355" t="s">
        <v>580</v>
      </c>
      <c r="D18" s="355"/>
      <c r="E18" s="248" t="s">
        <v>581</v>
      </c>
      <c r="F18" s="248"/>
      <c r="G18" s="356" t="s">
        <v>582</v>
      </c>
      <c r="H18" s="356"/>
      <c r="I18" s="356"/>
      <c r="J18" s="356"/>
      <c r="K18" s="356"/>
      <c r="L18" s="356"/>
      <c r="M18" s="356"/>
      <c r="N18" s="356"/>
      <c r="O18" s="356"/>
      <c r="P18" s="356"/>
      <c r="Q18" s="356"/>
      <c r="R18" s="356"/>
      <c r="S18" s="356"/>
      <c r="T18" s="356"/>
      <c r="U18" s="313"/>
      <c r="V18" s="313"/>
      <c r="W18" s="313"/>
      <c r="X18" s="313"/>
      <c r="Y18" s="313"/>
      <c r="Z18" s="313"/>
      <c r="AA18" s="313"/>
      <c r="AB18" s="313"/>
    </row>
    <row r="19" spans="2:28" ht="24.95" customHeight="1" x14ac:dyDescent="0.3">
      <c r="B19" s="25"/>
      <c r="C19" s="357" t="s">
        <v>583</v>
      </c>
      <c r="D19" s="357"/>
      <c r="E19" s="245" t="s">
        <v>584</v>
      </c>
      <c r="F19" s="245"/>
      <c r="G19" s="358" t="s">
        <v>585</v>
      </c>
      <c r="H19" s="358"/>
      <c r="I19" s="358"/>
      <c r="J19" s="358"/>
      <c r="K19" s="358"/>
      <c r="L19" s="358"/>
      <c r="M19" s="358"/>
      <c r="N19" s="358"/>
      <c r="O19" s="358"/>
      <c r="P19" s="358"/>
      <c r="Q19" s="358"/>
      <c r="R19" s="358"/>
      <c r="S19" s="358"/>
      <c r="T19" s="358"/>
      <c r="U19" s="350"/>
      <c r="V19" s="350"/>
      <c r="W19" s="350"/>
      <c r="X19" s="350"/>
      <c r="Y19" s="350"/>
      <c r="Z19" s="350"/>
      <c r="AA19" s="350"/>
      <c r="AB19" s="350"/>
    </row>
    <row r="20" spans="2:28" ht="24.95" customHeight="1" x14ac:dyDescent="0.3">
      <c r="B20" s="359"/>
      <c r="C20" s="359"/>
      <c r="D20" s="359"/>
      <c r="E20" s="359"/>
      <c r="F20" s="359"/>
      <c r="G20" s="359"/>
      <c r="H20" s="359"/>
      <c r="I20" s="359"/>
      <c r="J20" s="359"/>
      <c r="K20" s="359"/>
      <c r="L20" s="359"/>
      <c r="M20" s="359"/>
      <c r="N20" s="359"/>
      <c r="O20" s="359"/>
      <c r="P20" s="359"/>
      <c r="Q20" s="359"/>
      <c r="R20" s="359"/>
      <c r="S20" s="359"/>
      <c r="T20" s="359"/>
      <c r="U20" s="359"/>
      <c r="V20" s="359"/>
      <c r="W20" s="359"/>
      <c r="X20" s="359"/>
      <c r="Y20" s="359"/>
      <c r="Z20" s="359"/>
      <c r="AA20" s="359"/>
      <c r="AB20" s="359"/>
    </row>
    <row r="21" spans="2:28" ht="24.95" customHeight="1" x14ac:dyDescent="0.3">
      <c r="C21" s="15"/>
      <c r="D21" s="15"/>
      <c r="E21" s="15"/>
      <c r="F21" s="15"/>
      <c r="G21" s="29"/>
      <c r="H21" s="29"/>
      <c r="I21" s="29"/>
      <c r="J21" s="29"/>
      <c r="K21" s="29"/>
      <c r="L21" s="29"/>
      <c r="M21" s="29"/>
      <c r="N21" s="29"/>
      <c r="O21" s="29"/>
      <c r="P21" s="29"/>
      <c r="Q21" s="29"/>
      <c r="R21" s="29"/>
      <c r="S21" s="29"/>
      <c r="T21" s="29"/>
    </row>
    <row r="23" spans="2:28" ht="30" customHeight="1" x14ac:dyDescent="0.3">
      <c r="B23" s="255" t="s">
        <v>586</v>
      </c>
      <c r="C23" s="255"/>
      <c r="D23" s="255"/>
      <c r="E23" s="255"/>
      <c r="F23" s="255"/>
      <c r="G23" s="255"/>
      <c r="H23" s="255"/>
      <c r="I23" s="255"/>
      <c r="J23" s="255"/>
      <c r="K23" s="255"/>
      <c r="L23" s="255"/>
      <c r="M23" s="255"/>
      <c r="N23" s="255"/>
      <c r="O23" s="255"/>
      <c r="P23" s="255"/>
      <c r="Q23" s="255"/>
      <c r="R23" s="255"/>
      <c r="S23" s="255"/>
      <c r="T23" s="255"/>
      <c r="U23" s="255"/>
      <c r="V23" s="255"/>
      <c r="W23" s="255"/>
      <c r="X23" s="255"/>
      <c r="Y23" s="255"/>
      <c r="Z23" s="255"/>
      <c r="AA23" s="255"/>
      <c r="AB23" s="255"/>
    </row>
    <row r="24" spans="2:28" ht="30" customHeight="1" x14ac:dyDescent="0.3">
      <c r="B24" s="255"/>
      <c r="C24" s="255"/>
      <c r="D24" s="255"/>
      <c r="E24" s="255"/>
      <c r="F24" s="255"/>
      <c r="G24" s="255"/>
      <c r="H24" s="255"/>
      <c r="I24" s="255"/>
      <c r="J24" s="255"/>
      <c r="K24" s="255"/>
      <c r="L24" s="255"/>
      <c r="M24" s="255"/>
      <c r="N24" s="255"/>
      <c r="O24" s="255"/>
      <c r="P24" s="255"/>
      <c r="Q24" s="255"/>
      <c r="R24" s="255"/>
      <c r="S24" s="255"/>
      <c r="T24" s="255"/>
      <c r="U24" s="255"/>
      <c r="V24" s="255"/>
      <c r="W24" s="255"/>
      <c r="X24" s="255"/>
      <c r="Y24" s="255"/>
      <c r="Z24" s="255"/>
      <c r="AA24" s="255"/>
      <c r="AB24" s="255"/>
    </row>
    <row r="26" spans="2:28" ht="30" customHeight="1" x14ac:dyDescent="0.3">
      <c r="B26" s="30" t="s">
        <v>15</v>
      </c>
      <c r="C26" s="352" t="s">
        <v>587</v>
      </c>
      <c r="D26" s="352"/>
      <c r="E26" s="352"/>
      <c r="F26" s="353" t="s">
        <v>588</v>
      </c>
      <c r="G26" s="353"/>
      <c r="H26" s="352" t="s">
        <v>589</v>
      </c>
      <c r="I26" s="352"/>
      <c r="J26" s="352"/>
      <c r="K26" s="352" t="s">
        <v>590</v>
      </c>
      <c r="L26" s="352"/>
      <c r="M26" s="352" t="s">
        <v>539</v>
      </c>
      <c r="N26" s="352"/>
      <c r="O26" s="352"/>
      <c r="P26" s="352"/>
      <c r="Q26" s="352" t="s">
        <v>591</v>
      </c>
      <c r="R26" s="352"/>
      <c r="S26" s="352"/>
      <c r="T26" s="352"/>
      <c r="U26" s="352"/>
      <c r="V26" s="352"/>
      <c r="W26" s="354" t="s">
        <v>592</v>
      </c>
      <c r="X26" s="354"/>
      <c r="Y26" s="354"/>
      <c r="Z26" s="354"/>
      <c r="AA26" s="354"/>
      <c r="AB26" s="354"/>
    </row>
    <row r="27" spans="2:28" ht="30" customHeight="1" x14ac:dyDescent="0.3">
      <c r="B27" s="4"/>
      <c r="C27" s="248" t="s">
        <v>593</v>
      </c>
      <c r="D27" s="248"/>
      <c r="E27" s="248"/>
      <c r="F27" s="348">
        <v>1.1000000000000001</v>
      </c>
      <c r="G27" s="348"/>
      <c r="H27" s="247" t="s">
        <v>136</v>
      </c>
      <c r="I27" s="247"/>
      <c r="J27" s="247"/>
      <c r="K27" s="248" t="s">
        <v>594</v>
      </c>
      <c r="L27" s="248"/>
      <c r="M27" s="248"/>
      <c r="N27" s="248"/>
      <c r="O27" s="248"/>
      <c r="P27" s="248"/>
      <c r="Q27" s="247" t="s">
        <v>595</v>
      </c>
      <c r="R27" s="247"/>
      <c r="S27" s="247"/>
      <c r="T27" s="247"/>
      <c r="U27" s="247"/>
      <c r="V27" s="247"/>
      <c r="W27" s="313"/>
      <c r="X27" s="313"/>
      <c r="Y27" s="313"/>
      <c r="Z27" s="313"/>
      <c r="AA27" s="313"/>
      <c r="AB27" s="313"/>
    </row>
    <row r="28" spans="2:28" ht="30" customHeight="1" x14ac:dyDescent="0.3">
      <c r="B28" s="4"/>
      <c r="C28" s="248" t="s">
        <v>593</v>
      </c>
      <c r="D28" s="248"/>
      <c r="E28" s="248"/>
      <c r="F28" s="348">
        <v>1.1000000000000001</v>
      </c>
      <c r="G28" s="348"/>
      <c r="H28" s="247" t="s">
        <v>596</v>
      </c>
      <c r="I28" s="247"/>
      <c r="J28" s="247"/>
      <c r="K28" s="248" t="s">
        <v>594</v>
      </c>
      <c r="L28" s="248"/>
      <c r="M28" s="248"/>
      <c r="N28" s="248"/>
      <c r="O28" s="248"/>
      <c r="P28" s="248"/>
      <c r="Q28" s="247" t="s">
        <v>595</v>
      </c>
      <c r="R28" s="247"/>
      <c r="S28" s="247"/>
      <c r="T28" s="247"/>
      <c r="U28" s="247"/>
      <c r="V28" s="247"/>
      <c r="W28" s="313"/>
      <c r="X28" s="313"/>
      <c r="Y28" s="313"/>
      <c r="Z28" s="313"/>
      <c r="AA28" s="313"/>
      <c r="AB28" s="313"/>
    </row>
    <row r="29" spans="2:28" ht="30" customHeight="1" x14ac:dyDescent="0.3">
      <c r="B29" s="4"/>
      <c r="C29" s="248" t="s">
        <v>593</v>
      </c>
      <c r="D29" s="248"/>
      <c r="E29" s="248"/>
      <c r="F29" s="348"/>
      <c r="G29" s="348"/>
      <c r="H29" s="247" t="s">
        <v>147</v>
      </c>
      <c r="I29" s="247"/>
      <c r="J29" s="247"/>
      <c r="K29" s="248"/>
      <c r="L29" s="248"/>
      <c r="M29" s="248"/>
      <c r="N29" s="248"/>
      <c r="O29" s="248"/>
      <c r="P29" s="248"/>
      <c r="Q29" s="247"/>
      <c r="R29" s="247"/>
      <c r="S29" s="247"/>
      <c r="T29" s="247"/>
      <c r="U29" s="247"/>
      <c r="V29" s="247"/>
      <c r="W29" s="313"/>
      <c r="X29" s="313"/>
      <c r="Y29" s="313"/>
      <c r="Z29" s="313"/>
      <c r="AA29" s="313"/>
      <c r="AB29" s="313"/>
    </row>
    <row r="30" spans="2:28" ht="30" customHeight="1" x14ac:dyDescent="0.3">
      <c r="B30" s="4"/>
      <c r="C30" s="248" t="s">
        <v>593</v>
      </c>
      <c r="D30" s="248"/>
      <c r="E30" s="248"/>
      <c r="F30" s="348"/>
      <c r="G30" s="348"/>
      <c r="H30" s="247" t="s">
        <v>149</v>
      </c>
      <c r="I30" s="247"/>
      <c r="J30" s="247"/>
      <c r="K30" s="248"/>
      <c r="L30" s="248"/>
      <c r="M30" s="248"/>
      <c r="N30" s="248"/>
      <c r="O30" s="248"/>
      <c r="P30" s="248"/>
      <c r="Q30" s="247"/>
      <c r="R30" s="247"/>
      <c r="S30" s="247"/>
      <c r="T30" s="247"/>
      <c r="U30" s="247"/>
      <c r="V30" s="247"/>
      <c r="W30" s="313"/>
      <c r="X30" s="313"/>
      <c r="Y30" s="313"/>
      <c r="Z30" s="313"/>
      <c r="AA30" s="313"/>
      <c r="AB30" s="313"/>
    </row>
    <row r="31" spans="2:28" ht="30" customHeight="1" x14ac:dyDescent="0.3">
      <c r="B31" s="4"/>
      <c r="C31" s="248" t="s">
        <v>593</v>
      </c>
      <c r="D31" s="248"/>
      <c r="E31" s="248"/>
      <c r="F31" s="348">
        <v>1.4</v>
      </c>
      <c r="G31" s="348"/>
      <c r="H31" s="247" t="s">
        <v>151</v>
      </c>
      <c r="I31" s="247"/>
      <c r="J31" s="247"/>
      <c r="K31" s="248"/>
      <c r="L31" s="248"/>
      <c r="M31" s="248"/>
      <c r="N31" s="248"/>
      <c r="O31" s="248"/>
      <c r="P31" s="248"/>
      <c r="Q31" s="250" t="s">
        <v>597</v>
      </c>
      <c r="R31" s="250"/>
      <c r="S31" s="250"/>
      <c r="T31" s="250"/>
      <c r="U31" s="250"/>
      <c r="V31" s="250"/>
      <c r="W31" s="313" t="s">
        <v>598</v>
      </c>
      <c r="X31" s="313"/>
      <c r="Y31" s="313"/>
      <c r="Z31" s="313"/>
      <c r="AA31" s="313"/>
      <c r="AB31" s="313"/>
    </row>
    <row r="32" spans="2:28" ht="30" customHeight="1" x14ac:dyDescent="0.3">
      <c r="B32" s="4"/>
      <c r="C32" s="248" t="s">
        <v>593</v>
      </c>
      <c r="D32" s="248"/>
      <c r="E32" s="248"/>
      <c r="F32" s="348">
        <v>1.5</v>
      </c>
      <c r="G32" s="348"/>
      <c r="H32" s="351" t="s">
        <v>154</v>
      </c>
      <c r="I32" s="351"/>
      <c r="J32" s="351"/>
      <c r="K32" s="248"/>
      <c r="L32" s="248"/>
      <c r="M32" s="248"/>
      <c r="N32" s="248"/>
      <c r="O32" s="248"/>
      <c r="P32" s="248"/>
      <c r="Q32" s="247" t="s">
        <v>599</v>
      </c>
      <c r="R32" s="247"/>
      <c r="S32" s="247"/>
      <c r="T32" s="247"/>
      <c r="U32" s="247"/>
      <c r="V32" s="247"/>
      <c r="W32" s="313" t="s">
        <v>595</v>
      </c>
      <c r="X32" s="313"/>
      <c r="Y32" s="313"/>
      <c r="Z32" s="313"/>
      <c r="AA32" s="313"/>
      <c r="AB32" s="313"/>
    </row>
    <row r="33" spans="2:28" ht="30" customHeight="1" x14ac:dyDescent="0.3">
      <c r="B33" s="4"/>
      <c r="C33" s="248"/>
      <c r="D33" s="248"/>
      <c r="E33" s="248"/>
      <c r="F33" s="348"/>
      <c r="G33" s="348"/>
      <c r="H33" s="351"/>
      <c r="I33" s="351"/>
      <c r="J33" s="351"/>
      <c r="K33" s="248"/>
      <c r="L33" s="248"/>
      <c r="M33" s="248"/>
      <c r="N33" s="248"/>
      <c r="O33" s="248"/>
      <c r="P33" s="248"/>
      <c r="Q33" s="247" t="s">
        <v>600</v>
      </c>
      <c r="R33" s="247"/>
      <c r="S33" s="247"/>
      <c r="T33" s="247"/>
      <c r="U33" s="247"/>
      <c r="V33" s="247"/>
      <c r="W33" s="313"/>
      <c r="X33" s="313"/>
      <c r="Y33" s="313"/>
      <c r="Z33" s="313"/>
      <c r="AA33" s="313"/>
      <c r="AB33" s="313"/>
    </row>
    <row r="34" spans="2:28" ht="30" customHeight="1" x14ac:dyDescent="0.3">
      <c r="B34" s="4"/>
      <c r="C34" s="248"/>
      <c r="D34" s="248"/>
      <c r="E34" s="248"/>
      <c r="F34" s="348"/>
      <c r="G34" s="348"/>
      <c r="H34" s="351"/>
      <c r="I34" s="351"/>
      <c r="J34" s="351"/>
      <c r="K34" s="248"/>
      <c r="L34" s="248"/>
      <c r="M34" s="248"/>
      <c r="N34" s="248"/>
      <c r="O34" s="248"/>
      <c r="P34" s="248"/>
      <c r="Q34" s="247" t="s">
        <v>601</v>
      </c>
      <c r="R34" s="247"/>
      <c r="S34" s="247"/>
      <c r="T34" s="247"/>
      <c r="U34" s="247"/>
      <c r="V34" s="247"/>
      <c r="W34" s="313"/>
      <c r="X34" s="313"/>
      <c r="Y34" s="313"/>
      <c r="Z34" s="313"/>
      <c r="AA34" s="313"/>
      <c r="AB34" s="313"/>
    </row>
    <row r="35" spans="2:28" ht="30" customHeight="1" x14ac:dyDescent="0.3">
      <c r="B35" s="4"/>
      <c r="C35" s="248"/>
      <c r="D35" s="248"/>
      <c r="E35" s="248"/>
      <c r="F35" s="348"/>
      <c r="G35" s="348"/>
      <c r="H35" s="351"/>
      <c r="I35" s="351"/>
      <c r="J35" s="351"/>
      <c r="K35" s="248"/>
      <c r="L35" s="248"/>
      <c r="M35" s="248"/>
      <c r="N35" s="248"/>
      <c r="O35" s="248"/>
      <c r="P35" s="248"/>
      <c r="Q35" s="247" t="s">
        <v>602</v>
      </c>
      <c r="R35" s="247"/>
      <c r="S35" s="247"/>
      <c r="T35" s="247"/>
      <c r="U35" s="247"/>
      <c r="V35" s="247"/>
      <c r="W35" s="313"/>
      <c r="X35" s="313"/>
      <c r="Y35" s="313"/>
      <c r="Z35" s="313"/>
      <c r="AA35" s="313"/>
      <c r="AB35" s="313"/>
    </row>
    <row r="36" spans="2:28" ht="30" customHeight="1" x14ac:dyDescent="0.3">
      <c r="B36" s="4"/>
      <c r="C36" s="248"/>
      <c r="D36" s="248"/>
      <c r="E36" s="248"/>
      <c r="F36" s="348"/>
      <c r="G36" s="348"/>
      <c r="H36" s="351"/>
      <c r="I36" s="351"/>
      <c r="J36" s="351"/>
      <c r="K36" s="248"/>
      <c r="L36" s="248"/>
      <c r="M36" s="248"/>
      <c r="N36" s="248"/>
      <c r="O36" s="248"/>
      <c r="P36" s="248"/>
      <c r="Q36" s="247" t="s">
        <v>603</v>
      </c>
      <c r="R36" s="247"/>
      <c r="S36" s="247"/>
      <c r="T36" s="247"/>
      <c r="U36" s="247"/>
      <c r="V36" s="247"/>
      <c r="W36" s="313"/>
      <c r="X36" s="313"/>
      <c r="Y36" s="313"/>
      <c r="Z36" s="313"/>
      <c r="AA36" s="313"/>
      <c r="AB36" s="313"/>
    </row>
    <row r="37" spans="2:28" ht="30" customHeight="1" x14ac:dyDescent="0.3">
      <c r="B37" s="4"/>
      <c r="C37" s="248"/>
      <c r="D37" s="248"/>
      <c r="E37" s="248"/>
      <c r="F37" s="348"/>
      <c r="G37" s="348"/>
      <c r="H37" s="351"/>
      <c r="I37" s="351"/>
      <c r="J37" s="351"/>
      <c r="K37" s="248"/>
      <c r="L37" s="248"/>
      <c r="M37" s="248"/>
      <c r="N37" s="248"/>
      <c r="O37" s="248"/>
      <c r="P37" s="248"/>
      <c r="Q37" s="247" t="s">
        <v>604</v>
      </c>
      <c r="R37" s="247"/>
      <c r="S37" s="247"/>
      <c r="T37" s="247"/>
      <c r="U37" s="247"/>
      <c r="V37" s="247"/>
      <c r="W37" s="313"/>
      <c r="X37" s="313"/>
      <c r="Y37" s="313"/>
      <c r="Z37" s="313"/>
      <c r="AA37" s="313"/>
      <c r="AB37" s="313"/>
    </row>
    <row r="38" spans="2:28" ht="30" customHeight="1" x14ac:dyDescent="0.3">
      <c r="B38" s="4"/>
      <c r="C38" s="248"/>
      <c r="D38" s="248"/>
      <c r="E38" s="248"/>
      <c r="F38" s="348"/>
      <c r="G38" s="348"/>
      <c r="H38" s="351"/>
      <c r="I38" s="351"/>
      <c r="J38" s="351"/>
      <c r="K38" s="248"/>
      <c r="L38" s="248"/>
      <c r="M38" s="248"/>
      <c r="N38" s="248"/>
      <c r="O38" s="248"/>
      <c r="P38" s="248"/>
      <c r="Q38" s="247" t="s">
        <v>605</v>
      </c>
      <c r="R38" s="247"/>
      <c r="S38" s="247"/>
      <c r="T38" s="247"/>
      <c r="U38" s="247"/>
      <c r="V38" s="247"/>
      <c r="W38" s="313"/>
      <c r="X38" s="313"/>
      <c r="Y38" s="313"/>
      <c r="Z38" s="313"/>
      <c r="AA38" s="313"/>
      <c r="AB38" s="313"/>
    </row>
    <row r="39" spans="2:28" ht="30" customHeight="1" x14ac:dyDescent="0.3">
      <c r="B39" s="4"/>
      <c r="C39" s="248"/>
      <c r="D39" s="248"/>
      <c r="E39" s="248"/>
      <c r="F39" s="348"/>
      <c r="G39" s="348"/>
      <c r="H39" s="247" t="s">
        <v>606</v>
      </c>
      <c r="I39" s="247"/>
      <c r="J39" s="247"/>
      <c r="K39" s="248"/>
      <c r="L39" s="248"/>
      <c r="M39" s="248"/>
      <c r="N39" s="248"/>
      <c r="O39" s="248"/>
      <c r="P39" s="248"/>
      <c r="Q39" s="247"/>
      <c r="R39" s="247"/>
      <c r="S39" s="247"/>
      <c r="T39" s="247"/>
      <c r="U39" s="247"/>
      <c r="V39" s="247"/>
      <c r="W39" s="313"/>
      <c r="X39" s="313"/>
      <c r="Y39" s="313"/>
      <c r="Z39" s="313"/>
      <c r="AA39" s="313"/>
      <c r="AB39" s="313"/>
    </row>
    <row r="40" spans="2:28" ht="30" customHeight="1" x14ac:dyDescent="0.3">
      <c r="B40" s="4"/>
      <c r="C40" s="248"/>
      <c r="D40" s="248"/>
      <c r="E40" s="248"/>
      <c r="F40" s="348"/>
      <c r="G40" s="348"/>
      <c r="H40" s="247" t="s">
        <v>607</v>
      </c>
      <c r="I40" s="247"/>
      <c r="J40" s="247"/>
      <c r="K40" s="248"/>
      <c r="L40" s="248"/>
      <c r="M40" s="248"/>
      <c r="N40" s="248"/>
      <c r="O40" s="248"/>
      <c r="P40" s="248"/>
      <c r="Q40" s="247"/>
      <c r="R40" s="247"/>
      <c r="S40" s="247"/>
      <c r="T40" s="247"/>
      <c r="U40" s="247"/>
      <c r="V40" s="247"/>
      <c r="W40" s="313"/>
      <c r="X40" s="313"/>
      <c r="Y40" s="313"/>
      <c r="Z40" s="313"/>
      <c r="AA40" s="313"/>
      <c r="AB40" s="313"/>
    </row>
    <row r="41" spans="2:28" ht="30" customHeight="1" x14ac:dyDescent="0.3">
      <c r="B41" s="4"/>
      <c r="C41" s="248"/>
      <c r="D41" s="248"/>
      <c r="E41" s="248"/>
      <c r="F41" s="348"/>
      <c r="G41" s="348"/>
      <c r="H41" s="247" t="s">
        <v>608</v>
      </c>
      <c r="I41" s="247"/>
      <c r="J41" s="247"/>
      <c r="K41" s="248"/>
      <c r="L41" s="248"/>
      <c r="M41" s="248"/>
      <c r="N41" s="248"/>
      <c r="O41" s="248"/>
      <c r="P41" s="248"/>
      <c r="Q41" s="247"/>
      <c r="R41" s="247"/>
      <c r="S41" s="247"/>
      <c r="T41" s="247"/>
      <c r="U41" s="247"/>
      <c r="V41" s="247"/>
      <c r="W41" s="313"/>
      <c r="X41" s="313"/>
      <c r="Y41" s="313"/>
      <c r="Z41" s="313"/>
      <c r="AA41" s="313"/>
      <c r="AB41" s="313"/>
    </row>
    <row r="42" spans="2:28" ht="30" customHeight="1" x14ac:dyDescent="0.3">
      <c r="B42" s="4"/>
      <c r="C42" s="248"/>
      <c r="D42" s="248"/>
      <c r="E42" s="248"/>
      <c r="F42" s="348"/>
      <c r="G42" s="348"/>
      <c r="H42" s="247" t="s">
        <v>609</v>
      </c>
      <c r="I42" s="247"/>
      <c r="J42" s="247"/>
      <c r="K42" s="248"/>
      <c r="L42" s="248"/>
      <c r="M42" s="248"/>
      <c r="N42" s="248"/>
      <c r="O42" s="248"/>
      <c r="P42" s="248"/>
      <c r="Q42" s="247"/>
      <c r="R42" s="247"/>
      <c r="S42" s="247"/>
      <c r="T42" s="247"/>
      <c r="U42" s="247"/>
      <c r="V42" s="247"/>
      <c r="W42" s="313"/>
      <c r="X42" s="313"/>
      <c r="Y42" s="313"/>
      <c r="Z42" s="313"/>
      <c r="AA42" s="313"/>
      <c r="AB42" s="313"/>
    </row>
    <row r="43" spans="2:28" ht="30" customHeight="1" x14ac:dyDescent="0.3">
      <c r="B43" s="4"/>
      <c r="C43" s="248"/>
      <c r="D43" s="248"/>
      <c r="E43" s="248"/>
      <c r="F43" s="348"/>
      <c r="G43" s="348"/>
      <c r="H43" s="247" t="s">
        <v>610</v>
      </c>
      <c r="I43" s="247"/>
      <c r="J43" s="247"/>
      <c r="K43" s="248"/>
      <c r="L43" s="248"/>
      <c r="M43" s="248"/>
      <c r="N43" s="248"/>
      <c r="O43" s="248"/>
      <c r="P43" s="248"/>
      <c r="Q43" s="247"/>
      <c r="R43" s="247"/>
      <c r="S43" s="247"/>
      <c r="T43" s="247"/>
      <c r="U43" s="247"/>
      <c r="V43" s="247"/>
      <c r="W43" s="313"/>
      <c r="X43" s="313"/>
      <c r="Y43" s="313"/>
      <c r="Z43" s="313"/>
      <c r="AA43" s="313"/>
      <c r="AB43" s="313"/>
    </row>
    <row r="44" spans="2:28" ht="30" customHeight="1" x14ac:dyDescent="0.3">
      <c r="B44" s="4"/>
      <c r="C44" s="248"/>
      <c r="D44" s="248"/>
      <c r="E44" s="248"/>
      <c r="F44" s="348"/>
      <c r="G44" s="348"/>
      <c r="H44" s="247" t="s">
        <v>611</v>
      </c>
      <c r="I44" s="247"/>
      <c r="J44" s="247"/>
      <c r="K44" s="248"/>
      <c r="L44" s="248"/>
      <c r="M44" s="248"/>
      <c r="N44" s="248"/>
      <c r="O44" s="248"/>
      <c r="P44" s="248"/>
      <c r="Q44" s="247"/>
      <c r="R44" s="247"/>
      <c r="S44" s="247"/>
      <c r="T44" s="247"/>
      <c r="U44" s="247"/>
      <c r="V44" s="247"/>
      <c r="W44" s="313"/>
      <c r="X44" s="313"/>
      <c r="Y44" s="313"/>
      <c r="Z44" s="313"/>
      <c r="AA44" s="313"/>
      <c r="AB44" s="313"/>
    </row>
    <row r="45" spans="2:28" ht="30" customHeight="1" x14ac:dyDescent="0.3">
      <c r="B45" s="4"/>
      <c r="C45" s="248"/>
      <c r="D45" s="248"/>
      <c r="E45" s="248"/>
      <c r="F45" s="348"/>
      <c r="G45" s="348"/>
      <c r="H45" s="247" t="s">
        <v>612</v>
      </c>
      <c r="I45" s="247"/>
      <c r="J45" s="247"/>
      <c r="K45" s="248"/>
      <c r="L45" s="248"/>
      <c r="M45" s="248"/>
      <c r="N45" s="248"/>
      <c r="O45" s="248"/>
      <c r="P45" s="248"/>
      <c r="Q45" s="247"/>
      <c r="R45" s="247"/>
      <c r="S45" s="247"/>
      <c r="T45" s="247"/>
      <c r="U45" s="247"/>
      <c r="V45" s="247"/>
      <c r="W45" s="313"/>
      <c r="X45" s="313"/>
      <c r="Y45" s="313"/>
      <c r="Z45" s="313"/>
      <c r="AA45" s="313"/>
      <c r="AB45" s="313"/>
    </row>
    <row r="46" spans="2:28" ht="30" customHeight="1" x14ac:dyDescent="0.3">
      <c r="B46" s="4"/>
      <c r="C46" s="248"/>
      <c r="D46" s="248"/>
      <c r="E46" s="248"/>
      <c r="F46" s="348"/>
      <c r="G46" s="348"/>
      <c r="H46" s="247" t="s">
        <v>613</v>
      </c>
      <c r="I46" s="247"/>
      <c r="J46" s="247"/>
      <c r="K46" s="248"/>
      <c r="L46" s="248"/>
      <c r="M46" s="248"/>
      <c r="N46" s="248"/>
      <c r="O46" s="248"/>
      <c r="P46" s="248"/>
      <c r="Q46" s="247"/>
      <c r="R46" s="247"/>
      <c r="S46" s="247"/>
      <c r="T46" s="247"/>
      <c r="U46" s="247"/>
      <c r="V46" s="247"/>
      <c r="W46" s="313"/>
      <c r="X46" s="313"/>
      <c r="Y46" s="313"/>
      <c r="Z46" s="313"/>
      <c r="AA46" s="313"/>
      <c r="AB46" s="313"/>
    </row>
    <row r="47" spans="2:28" ht="30" customHeight="1" x14ac:dyDescent="0.3">
      <c r="B47" s="4"/>
      <c r="C47" s="248"/>
      <c r="D47" s="248"/>
      <c r="E47" s="248"/>
      <c r="F47" s="348"/>
      <c r="G47" s="348"/>
      <c r="H47" s="247"/>
      <c r="I47" s="247"/>
      <c r="J47" s="247"/>
      <c r="K47" s="248"/>
      <c r="L47" s="248"/>
      <c r="M47" s="248"/>
      <c r="N47" s="248"/>
      <c r="O47" s="248"/>
      <c r="P47" s="248"/>
      <c r="Q47" s="247"/>
      <c r="R47" s="247"/>
      <c r="S47" s="247"/>
      <c r="T47" s="247"/>
      <c r="U47" s="247"/>
      <c r="V47" s="247"/>
      <c r="W47" s="313"/>
      <c r="X47" s="313"/>
      <c r="Y47" s="313"/>
      <c r="Z47" s="313"/>
      <c r="AA47" s="313"/>
      <c r="AB47" s="313"/>
    </row>
    <row r="48" spans="2:28" ht="30" customHeight="1" x14ac:dyDescent="0.3">
      <c r="B48" s="4"/>
      <c r="C48" s="248"/>
      <c r="D48" s="248"/>
      <c r="E48" s="248"/>
      <c r="F48" s="348"/>
      <c r="G48" s="348"/>
      <c r="H48" s="247" t="s">
        <v>614</v>
      </c>
      <c r="I48" s="247"/>
      <c r="J48" s="247"/>
      <c r="K48" s="248"/>
      <c r="L48" s="248"/>
      <c r="M48" s="248"/>
      <c r="N48" s="248"/>
      <c r="O48" s="248"/>
      <c r="P48" s="248"/>
      <c r="Q48" s="247"/>
      <c r="R48" s="247"/>
      <c r="S48" s="247"/>
      <c r="T48" s="247"/>
      <c r="U48" s="247"/>
      <c r="V48" s="247"/>
      <c r="W48" s="313"/>
      <c r="X48" s="313"/>
      <c r="Y48" s="313"/>
      <c r="Z48" s="313"/>
      <c r="AA48" s="313"/>
      <c r="AB48" s="313"/>
    </row>
    <row r="49" spans="2:28" ht="30" customHeight="1" x14ac:dyDescent="0.3">
      <c r="B49" s="4"/>
      <c r="C49" s="248"/>
      <c r="D49" s="248"/>
      <c r="E49" s="248"/>
      <c r="F49" s="348"/>
      <c r="G49" s="348"/>
      <c r="H49" s="247" t="s">
        <v>615</v>
      </c>
      <c r="I49" s="247"/>
      <c r="J49" s="247"/>
      <c r="K49" s="248"/>
      <c r="L49" s="248"/>
      <c r="M49" s="248"/>
      <c r="N49" s="248"/>
      <c r="O49" s="248"/>
      <c r="P49" s="248"/>
      <c r="Q49" s="247"/>
      <c r="R49" s="247"/>
      <c r="S49" s="247"/>
      <c r="T49" s="247"/>
      <c r="U49" s="247"/>
      <c r="V49" s="247"/>
      <c r="W49" s="313"/>
      <c r="X49" s="313"/>
      <c r="Y49" s="313"/>
      <c r="Z49" s="313"/>
      <c r="AA49" s="313"/>
      <c r="AB49" s="313"/>
    </row>
    <row r="50" spans="2:28" ht="30" customHeight="1" x14ac:dyDescent="0.3">
      <c r="B50" s="4"/>
      <c r="C50" s="248"/>
      <c r="D50" s="248"/>
      <c r="E50" s="248"/>
      <c r="F50" s="348"/>
      <c r="G50" s="348"/>
      <c r="H50" s="247" t="s">
        <v>616</v>
      </c>
      <c r="I50" s="247"/>
      <c r="J50" s="247"/>
      <c r="K50" s="248"/>
      <c r="L50" s="248"/>
      <c r="M50" s="248"/>
      <c r="N50" s="248"/>
      <c r="O50" s="248"/>
      <c r="P50" s="248"/>
      <c r="Q50" s="247"/>
      <c r="R50" s="247"/>
      <c r="S50" s="247"/>
      <c r="T50" s="247"/>
      <c r="U50" s="247"/>
      <c r="V50" s="247"/>
      <c r="W50" s="313"/>
      <c r="X50" s="313"/>
      <c r="Y50" s="313"/>
      <c r="Z50" s="313"/>
      <c r="AA50" s="313"/>
      <c r="AB50" s="313"/>
    </row>
    <row r="51" spans="2:28" ht="30" customHeight="1" x14ac:dyDescent="0.3">
      <c r="B51" s="4"/>
      <c r="C51" s="248"/>
      <c r="D51" s="248"/>
      <c r="E51" s="248"/>
      <c r="F51" s="348"/>
      <c r="G51" s="348"/>
      <c r="H51" s="247" t="s">
        <v>617</v>
      </c>
      <c r="I51" s="247"/>
      <c r="J51" s="247"/>
      <c r="K51" s="248"/>
      <c r="L51" s="248"/>
      <c r="M51" s="248"/>
      <c r="N51" s="248"/>
      <c r="O51" s="248"/>
      <c r="P51" s="248"/>
      <c r="Q51" s="247"/>
      <c r="R51" s="247"/>
      <c r="S51" s="247"/>
      <c r="T51" s="247"/>
      <c r="U51" s="247"/>
      <c r="V51" s="247"/>
      <c r="W51" s="313"/>
      <c r="X51" s="313"/>
      <c r="Y51" s="313"/>
      <c r="Z51" s="313"/>
      <c r="AA51" s="313"/>
      <c r="AB51" s="313"/>
    </row>
    <row r="52" spans="2:28" ht="30" customHeight="1" x14ac:dyDescent="0.3">
      <c r="B52" s="4"/>
      <c r="C52" s="248"/>
      <c r="D52" s="248"/>
      <c r="E52" s="248"/>
      <c r="F52" s="348"/>
      <c r="G52" s="348"/>
      <c r="H52" s="247" t="s">
        <v>618</v>
      </c>
      <c r="I52" s="247"/>
      <c r="J52" s="247"/>
      <c r="K52" s="248"/>
      <c r="L52" s="248"/>
      <c r="M52" s="248"/>
      <c r="N52" s="248"/>
      <c r="O52" s="248"/>
      <c r="P52" s="248"/>
      <c r="Q52" s="247"/>
      <c r="R52" s="247"/>
      <c r="S52" s="247"/>
      <c r="T52" s="247"/>
      <c r="U52" s="247"/>
      <c r="V52" s="247"/>
      <c r="W52" s="313"/>
      <c r="X52" s="313"/>
      <c r="Y52" s="313"/>
      <c r="Z52" s="313"/>
      <c r="AA52" s="313"/>
      <c r="AB52" s="313"/>
    </row>
    <row r="53" spans="2:28" ht="30" customHeight="1" x14ac:dyDescent="0.3">
      <c r="B53" s="4"/>
      <c r="C53" s="248"/>
      <c r="D53" s="248"/>
      <c r="E53" s="248"/>
      <c r="F53" s="348"/>
      <c r="G53" s="348"/>
      <c r="H53" s="247"/>
      <c r="I53" s="247"/>
      <c r="J53" s="247"/>
      <c r="K53" s="248"/>
      <c r="L53" s="248"/>
      <c r="M53" s="248"/>
      <c r="N53" s="248"/>
      <c r="O53" s="248"/>
      <c r="P53" s="248"/>
      <c r="Q53" s="247"/>
      <c r="R53" s="247"/>
      <c r="S53" s="247"/>
      <c r="T53" s="247"/>
      <c r="U53" s="247"/>
      <c r="V53" s="247"/>
      <c r="W53" s="313"/>
      <c r="X53" s="313"/>
      <c r="Y53" s="313"/>
      <c r="Z53" s="313"/>
      <c r="AA53" s="313"/>
      <c r="AB53" s="313"/>
    </row>
    <row r="54" spans="2:28" ht="30" customHeight="1" x14ac:dyDescent="0.3">
      <c r="B54" s="4"/>
      <c r="C54" s="248"/>
      <c r="D54" s="248"/>
      <c r="E54" s="248"/>
      <c r="F54" s="348"/>
      <c r="G54" s="348"/>
      <c r="H54" s="247" t="s">
        <v>619</v>
      </c>
      <c r="I54" s="247"/>
      <c r="J54" s="247"/>
      <c r="K54" s="248"/>
      <c r="L54" s="248"/>
      <c r="M54" s="248"/>
      <c r="N54" s="248"/>
      <c r="O54" s="248"/>
      <c r="P54" s="248"/>
      <c r="Q54" s="247"/>
      <c r="R54" s="247"/>
      <c r="S54" s="247"/>
      <c r="T54" s="247"/>
      <c r="U54" s="247"/>
      <c r="V54" s="247"/>
      <c r="W54" s="313"/>
      <c r="X54" s="313"/>
      <c r="Y54" s="313"/>
      <c r="Z54" s="313"/>
      <c r="AA54" s="313"/>
      <c r="AB54" s="313"/>
    </row>
    <row r="55" spans="2:28" ht="30" customHeight="1" x14ac:dyDescent="0.3">
      <c r="B55" s="4"/>
      <c r="C55" s="248"/>
      <c r="D55" s="248"/>
      <c r="E55" s="248"/>
      <c r="F55" s="348"/>
      <c r="G55" s="348"/>
      <c r="H55" s="247" t="s">
        <v>620</v>
      </c>
      <c r="I55" s="247"/>
      <c r="J55" s="247"/>
      <c r="K55" s="248"/>
      <c r="L55" s="248"/>
      <c r="M55" s="248"/>
      <c r="N55" s="248"/>
      <c r="O55" s="248"/>
      <c r="P55" s="248"/>
      <c r="Q55" s="247"/>
      <c r="R55" s="247"/>
      <c r="S55" s="247"/>
      <c r="T55" s="247"/>
      <c r="U55" s="247"/>
      <c r="V55" s="247"/>
      <c r="W55" s="313"/>
      <c r="X55" s="313"/>
      <c r="Y55" s="313"/>
      <c r="Z55" s="313"/>
      <c r="AA55" s="313"/>
      <c r="AB55" s="313"/>
    </row>
    <row r="56" spans="2:28" ht="30" customHeight="1" x14ac:dyDescent="0.3">
      <c r="B56" s="4"/>
      <c r="C56" s="248"/>
      <c r="D56" s="248"/>
      <c r="E56" s="248"/>
      <c r="F56" s="348"/>
      <c r="G56" s="348"/>
      <c r="H56" s="247" t="s">
        <v>621</v>
      </c>
      <c r="I56" s="247"/>
      <c r="J56" s="247"/>
      <c r="K56" s="248"/>
      <c r="L56" s="248"/>
      <c r="M56" s="248"/>
      <c r="N56" s="248"/>
      <c r="O56" s="248"/>
      <c r="P56" s="248"/>
      <c r="Q56" s="247"/>
      <c r="R56" s="247"/>
      <c r="S56" s="247"/>
      <c r="T56" s="247"/>
      <c r="U56" s="247"/>
      <c r="V56" s="247"/>
      <c r="W56" s="313"/>
      <c r="X56" s="313"/>
      <c r="Y56" s="313"/>
      <c r="Z56" s="313"/>
      <c r="AA56" s="313"/>
      <c r="AB56" s="313"/>
    </row>
    <row r="57" spans="2:28" ht="30" customHeight="1" x14ac:dyDescent="0.3">
      <c r="B57" s="4"/>
      <c r="C57" s="248"/>
      <c r="D57" s="248"/>
      <c r="E57" s="248"/>
      <c r="F57" s="348"/>
      <c r="G57" s="348"/>
      <c r="H57" s="247" t="s">
        <v>622</v>
      </c>
      <c r="I57" s="247"/>
      <c r="J57" s="247"/>
      <c r="K57" s="248"/>
      <c r="L57" s="248"/>
      <c r="M57" s="248"/>
      <c r="N57" s="248"/>
      <c r="O57" s="248"/>
      <c r="P57" s="248"/>
      <c r="Q57" s="247"/>
      <c r="R57" s="247"/>
      <c r="S57" s="247"/>
      <c r="T57" s="247"/>
      <c r="U57" s="247"/>
      <c r="V57" s="247"/>
      <c r="W57" s="313"/>
      <c r="X57" s="313"/>
      <c r="Y57" s="313"/>
      <c r="Z57" s="313"/>
      <c r="AA57" s="313"/>
      <c r="AB57" s="313"/>
    </row>
    <row r="58" spans="2:28" ht="30" customHeight="1" x14ac:dyDescent="0.3">
      <c r="B58" s="4"/>
      <c r="C58" s="248"/>
      <c r="D58" s="248"/>
      <c r="E58" s="248"/>
      <c r="F58" s="348"/>
      <c r="G58" s="348"/>
      <c r="H58" s="247" t="s">
        <v>623</v>
      </c>
      <c r="I58" s="247"/>
      <c r="J58" s="247"/>
      <c r="K58" s="248"/>
      <c r="L58" s="248"/>
      <c r="M58" s="248"/>
      <c r="N58" s="248"/>
      <c r="O58" s="248"/>
      <c r="P58" s="248"/>
      <c r="Q58" s="247"/>
      <c r="R58" s="247"/>
      <c r="S58" s="247"/>
      <c r="T58" s="247"/>
      <c r="U58" s="247"/>
      <c r="V58" s="247"/>
      <c r="W58" s="313"/>
      <c r="X58" s="313"/>
      <c r="Y58" s="313"/>
      <c r="Z58" s="313"/>
      <c r="AA58" s="313"/>
      <c r="AB58" s="313"/>
    </row>
    <row r="59" spans="2:28" ht="30" customHeight="1" x14ac:dyDescent="0.3">
      <c r="B59" s="4"/>
      <c r="C59" s="248"/>
      <c r="D59" s="248"/>
      <c r="E59" s="248"/>
      <c r="F59" s="348"/>
      <c r="G59" s="348"/>
      <c r="H59" s="247" t="s">
        <v>624</v>
      </c>
      <c r="I59" s="247"/>
      <c r="J59" s="247"/>
      <c r="K59" s="248"/>
      <c r="L59" s="248"/>
      <c r="M59" s="248"/>
      <c r="N59" s="248"/>
      <c r="O59" s="248"/>
      <c r="P59" s="248"/>
      <c r="Q59" s="247"/>
      <c r="R59" s="247"/>
      <c r="S59" s="247"/>
      <c r="T59" s="247"/>
      <c r="U59" s="247"/>
      <c r="V59" s="247"/>
      <c r="W59" s="313"/>
      <c r="X59" s="313"/>
      <c r="Y59" s="313"/>
      <c r="Z59" s="313"/>
      <c r="AA59" s="313"/>
      <c r="AB59" s="313"/>
    </row>
    <row r="60" spans="2:28" ht="30" customHeight="1" x14ac:dyDescent="0.3">
      <c r="B60" s="4"/>
      <c r="C60" s="248"/>
      <c r="D60" s="248"/>
      <c r="E60" s="248"/>
      <c r="F60" s="348"/>
      <c r="G60" s="348"/>
      <c r="H60" s="247" t="s">
        <v>625</v>
      </c>
      <c r="I60" s="247"/>
      <c r="J60" s="247"/>
      <c r="K60" s="248"/>
      <c r="L60" s="248"/>
      <c r="M60" s="248"/>
      <c r="N60" s="248"/>
      <c r="O60" s="248"/>
      <c r="P60" s="248"/>
      <c r="Q60" s="247"/>
      <c r="R60" s="247"/>
      <c r="S60" s="247"/>
      <c r="T60" s="247"/>
      <c r="U60" s="247"/>
      <c r="V60" s="247"/>
      <c r="W60" s="313"/>
      <c r="X60" s="313"/>
      <c r="Y60" s="313"/>
      <c r="Z60" s="313"/>
      <c r="AA60" s="313"/>
      <c r="AB60" s="313"/>
    </row>
    <row r="61" spans="2:28" ht="30" customHeight="1" x14ac:dyDescent="0.3">
      <c r="B61" s="4"/>
      <c r="C61" s="248"/>
      <c r="D61" s="248"/>
      <c r="E61" s="248"/>
      <c r="F61" s="348"/>
      <c r="G61" s="348"/>
      <c r="H61" s="247"/>
      <c r="I61" s="247"/>
      <c r="J61" s="247"/>
      <c r="K61" s="248"/>
      <c r="L61" s="248"/>
      <c r="M61" s="248"/>
      <c r="N61" s="248"/>
      <c r="O61" s="248"/>
      <c r="P61" s="248"/>
      <c r="Q61" s="247"/>
      <c r="R61" s="247"/>
      <c r="S61" s="247"/>
      <c r="T61" s="247"/>
      <c r="U61" s="247"/>
      <c r="V61" s="247"/>
      <c r="W61" s="313"/>
      <c r="X61" s="313"/>
      <c r="Y61" s="313"/>
      <c r="Z61" s="313"/>
      <c r="AA61" s="313"/>
      <c r="AB61" s="313"/>
    </row>
    <row r="62" spans="2:28" ht="30" customHeight="1" x14ac:dyDescent="0.3">
      <c r="B62" s="4"/>
      <c r="C62" s="248"/>
      <c r="D62" s="248"/>
      <c r="E62" s="248"/>
      <c r="F62" s="348"/>
      <c r="G62" s="348"/>
      <c r="H62" s="247" t="s">
        <v>626</v>
      </c>
      <c r="I62" s="247"/>
      <c r="J62" s="247"/>
      <c r="K62" s="248"/>
      <c r="L62" s="248"/>
      <c r="M62" s="248"/>
      <c r="N62" s="248"/>
      <c r="O62" s="248"/>
      <c r="P62" s="248"/>
      <c r="Q62" s="247"/>
      <c r="R62" s="247"/>
      <c r="S62" s="247"/>
      <c r="T62" s="247"/>
      <c r="U62" s="247"/>
      <c r="V62" s="247"/>
      <c r="W62" s="313"/>
      <c r="X62" s="313"/>
      <c r="Y62" s="313"/>
      <c r="Z62" s="313"/>
      <c r="AA62" s="313"/>
      <c r="AB62" s="313"/>
    </row>
    <row r="63" spans="2:28" ht="30" customHeight="1" x14ac:dyDescent="0.3">
      <c r="B63" s="4"/>
      <c r="C63" s="248"/>
      <c r="D63" s="248"/>
      <c r="E63" s="248"/>
      <c r="F63" s="348"/>
      <c r="G63" s="348"/>
      <c r="H63" s="247" t="s">
        <v>627</v>
      </c>
      <c r="I63" s="247"/>
      <c r="J63" s="247"/>
      <c r="K63" s="248"/>
      <c r="L63" s="248"/>
      <c r="M63" s="248"/>
      <c r="N63" s="248"/>
      <c r="O63" s="248"/>
      <c r="P63" s="248"/>
      <c r="Q63" s="247"/>
      <c r="R63" s="247"/>
      <c r="S63" s="247"/>
      <c r="T63" s="247"/>
      <c r="U63" s="247"/>
      <c r="V63" s="247"/>
      <c r="W63" s="313"/>
      <c r="X63" s="313"/>
      <c r="Y63" s="313"/>
      <c r="Z63" s="313"/>
      <c r="AA63" s="313"/>
      <c r="AB63" s="313"/>
    </row>
    <row r="64" spans="2:28" ht="30" customHeight="1" x14ac:dyDescent="0.3">
      <c r="B64" s="4"/>
      <c r="C64" s="248"/>
      <c r="D64" s="248"/>
      <c r="E64" s="248"/>
      <c r="F64" s="348"/>
      <c r="G64" s="348"/>
      <c r="H64" s="247" t="s">
        <v>628</v>
      </c>
      <c r="I64" s="247"/>
      <c r="J64" s="247"/>
      <c r="K64" s="248"/>
      <c r="L64" s="248"/>
      <c r="M64" s="248"/>
      <c r="N64" s="248"/>
      <c r="O64" s="248"/>
      <c r="P64" s="248"/>
      <c r="Q64" s="247"/>
      <c r="R64" s="247"/>
      <c r="S64" s="247"/>
      <c r="T64" s="247"/>
      <c r="U64" s="247"/>
      <c r="V64" s="247"/>
      <c r="W64" s="313"/>
      <c r="X64" s="313"/>
      <c r="Y64" s="313"/>
      <c r="Z64" s="313"/>
      <c r="AA64" s="313"/>
      <c r="AB64" s="313"/>
    </row>
    <row r="65" spans="2:28" ht="30" customHeight="1" x14ac:dyDescent="0.3">
      <c r="B65" s="4"/>
      <c r="C65" s="248"/>
      <c r="D65" s="248"/>
      <c r="E65" s="248"/>
      <c r="F65" s="348"/>
      <c r="G65" s="348"/>
      <c r="H65" s="247" t="s">
        <v>629</v>
      </c>
      <c r="I65" s="247"/>
      <c r="J65" s="247"/>
      <c r="K65" s="248"/>
      <c r="L65" s="248"/>
      <c r="M65" s="248"/>
      <c r="N65" s="248"/>
      <c r="O65" s="248"/>
      <c r="P65" s="248"/>
      <c r="Q65" s="247"/>
      <c r="R65" s="247"/>
      <c r="S65" s="247"/>
      <c r="T65" s="247"/>
      <c r="U65" s="247"/>
      <c r="V65" s="247"/>
      <c r="W65" s="313"/>
      <c r="X65" s="313"/>
      <c r="Y65" s="313"/>
      <c r="Z65" s="313"/>
      <c r="AA65" s="313"/>
      <c r="AB65" s="313"/>
    </row>
    <row r="66" spans="2:28" ht="30" customHeight="1" x14ac:dyDescent="0.3">
      <c r="B66" s="4"/>
      <c r="C66" s="248"/>
      <c r="D66" s="248"/>
      <c r="E66" s="248"/>
      <c r="F66" s="348"/>
      <c r="G66" s="348"/>
      <c r="H66" s="247"/>
      <c r="I66" s="247"/>
      <c r="J66" s="247"/>
      <c r="K66" s="248"/>
      <c r="L66" s="248"/>
      <c r="M66" s="248"/>
      <c r="N66" s="248"/>
      <c r="O66" s="248"/>
      <c r="P66" s="248"/>
      <c r="Q66" s="247"/>
      <c r="R66" s="247"/>
      <c r="S66" s="247"/>
      <c r="T66" s="247"/>
      <c r="U66" s="247"/>
      <c r="V66" s="247"/>
      <c r="W66" s="313"/>
      <c r="X66" s="313"/>
      <c r="Y66" s="313"/>
      <c r="Z66" s="313"/>
      <c r="AA66" s="313"/>
      <c r="AB66" s="313"/>
    </row>
    <row r="67" spans="2:28" ht="30" customHeight="1" x14ac:dyDescent="0.3">
      <c r="B67" s="4"/>
      <c r="C67" s="248"/>
      <c r="D67" s="248"/>
      <c r="E67" s="248"/>
      <c r="F67" s="348"/>
      <c r="G67" s="348"/>
      <c r="H67" s="247" t="s">
        <v>630</v>
      </c>
      <c r="I67" s="247"/>
      <c r="J67" s="247"/>
      <c r="K67" s="248"/>
      <c r="L67" s="248"/>
      <c r="M67" s="248"/>
      <c r="N67" s="248"/>
      <c r="O67" s="248"/>
      <c r="P67" s="248"/>
      <c r="Q67" s="247"/>
      <c r="R67" s="247"/>
      <c r="S67" s="247"/>
      <c r="T67" s="247"/>
      <c r="U67" s="247"/>
      <c r="V67" s="247"/>
      <c r="W67" s="313"/>
      <c r="X67" s="313"/>
      <c r="Y67" s="313"/>
      <c r="Z67" s="313"/>
      <c r="AA67" s="313"/>
      <c r="AB67" s="313"/>
    </row>
    <row r="68" spans="2:28" ht="30" customHeight="1" x14ac:dyDescent="0.3">
      <c r="B68" s="4"/>
      <c r="C68" s="248"/>
      <c r="D68" s="248"/>
      <c r="E68" s="248"/>
      <c r="F68" s="348"/>
      <c r="G68" s="348"/>
      <c r="H68" s="247" t="s">
        <v>631</v>
      </c>
      <c r="I68" s="247"/>
      <c r="J68" s="247"/>
      <c r="K68" s="248"/>
      <c r="L68" s="248"/>
      <c r="M68" s="248"/>
      <c r="N68" s="248"/>
      <c r="O68" s="248"/>
      <c r="P68" s="248"/>
      <c r="Q68" s="247"/>
      <c r="R68" s="247"/>
      <c r="S68" s="247"/>
      <c r="T68" s="247"/>
      <c r="U68" s="247"/>
      <c r="V68" s="247"/>
      <c r="W68" s="313"/>
      <c r="X68" s="313"/>
      <c r="Y68" s="313"/>
      <c r="Z68" s="313"/>
      <c r="AA68" s="313"/>
      <c r="AB68" s="313"/>
    </row>
    <row r="69" spans="2:28" ht="30" customHeight="1" x14ac:dyDescent="0.3">
      <c r="B69" s="4"/>
      <c r="C69" s="248"/>
      <c r="D69" s="248"/>
      <c r="E69" s="248"/>
      <c r="F69" s="348"/>
      <c r="G69" s="348"/>
      <c r="H69" s="247" t="s">
        <v>632</v>
      </c>
      <c r="I69" s="247"/>
      <c r="J69" s="247"/>
      <c r="K69" s="248"/>
      <c r="L69" s="248"/>
      <c r="M69" s="248"/>
      <c r="N69" s="248"/>
      <c r="O69" s="248"/>
      <c r="P69" s="248"/>
      <c r="Q69" s="247"/>
      <c r="R69" s="247"/>
      <c r="S69" s="247"/>
      <c r="T69" s="247"/>
      <c r="U69" s="247"/>
      <c r="V69" s="247"/>
      <c r="W69" s="313"/>
      <c r="X69" s="313"/>
      <c r="Y69" s="313"/>
      <c r="Z69" s="313"/>
      <c r="AA69" s="313"/>
      <c r="AB69" s="313"/>
    </row>
    <row r="70" spans="2:28" ht="30" customHeight="1" x14ac:dyDescent="0.3">
      <c r="B70" s="4"/>
      <c r="C70" s="248"/>
      <c r="D70" s="248"/>
      <c r="E70" s="248"/>
      <c r="F70" s="348"/>
      <c r="G70" s="348"/>
      <c r="H70" s="247" t="s">
        <v>633</v>
      </c>
      <c r="I70" s="247"/>
      <c r="J70" s="247"/>
      <c r="K70" s="248"/>
      <c r="L70" s="248"/>
      <c r="M70" s="248"/>
      <c r="N70" s="248"/>
      <c r="O70" s="248"/>
      <c r="P70" s="248"/>
      <c r="Q70" s="247"/>
      <c r="R70" s="247"/>
      <c r="S70" s="247"/>
      <c r="T70" s="247"/>
      <c r="U70" s="247"/>
      <c r="V70" s="247"/>
      <c r="W70" s="313"/>
      <c r="X70" s="313"/>
      <c r="Y70" s="313"/>
      <c r="Z70" s="313"/>
      <c r="AA70" s="313"/>
      <c r="AB70" s="313"/>
    </row>
    <row r="71" spans="2:28" ht="30" customHeight="1" x14ac:dyDescent="0.3">
      <c r="B71" s="28"/>
      <c r="C71" s="245"/>
      <c r="D71" s="245"/>
      <c r="E71" s="245"/>
      <c r="F71" s="349"/>
      <c r="G71" s="349"/>
      <c r="H71" s="244" t="s">
        <v>634</v>
      </c>
      <c r="I71" s="244"/>
      <c r="J71" s="244"/>
      <c r="K71" s="245"/>
      <c r="L71" s="245"/>
      <c r="M71" s="245"/>
      <c r="N71" s="245"/>
      <c r="O71" s="245"/>
      <c r="P71" s="245"/>
      <c r="Q71" s="244"/>
      <c r="R71" s="244"/>
      <c r="S71" s="244"/>
      <c r="T71" s="244"/>
      <c r="U71" s="244"/>
      <c r="V71" s="244"/>
      <c r="W71" s="350"/>
      <c r="X71" s="350"/>
      <c r="Y71" s="350"/>
      <c r="Z71" s="350"/>
      <c r="AA71" s="350"/>
      <c r="AB71" s="350"/>
    </row>
  </sheetData>
  <mergeCells count="358">
    <mergeCell ref="B2:D2"/>
    <mergeCell ref="E2:T2"/>
    <mergeCell ref="U2:W2"/>
    <mergeCell ref="X2:AB2"/>
    <mergeCell ref="B3:D3"/>
    <mergeCell ref="E3:T3"/>
    <mergeCell ref="U3:W3"/>
    <mergeCell ref="X3:AB3"/>
    <mergeCell ref="B4:AB4"/>
    <mergeCell ref="B5:AB10"/>
    <mergeCell ref="B11:AB11"/>
    <mergeCell ref="B12:AB12"/>
    <mergeCell ref="C13:D13"/>
    <mergeCell ref="E13:F13"/>
    <mergeCell ref="G13:T13"/>
    <mergeCell ref="U13:AB13"/>
    <mergeCell ref="C14:D14"/>
    <mergeCell ref="E14:F14"/>
    <mergeCell ref="G14:T14"/>
    <mergeCell ref="U14:AB14"/>
    <mergeCell ref="C15:D15"/>
    <mergeCell ref="E15:F15"/>
    <mergeCell ref="G15:T15"/>
    <mergeCell ref="U15:AB15"/>
    <mergeCell ref="C16:D16"/>
    <mergeCell ref="E16:F16"/>
    <mergeCell ref="G16:T16"/>
    <mergeCell ref="U16:AB16"/>
    <mergeCell ref="C17:D17"/>
    <mergeCell ref="E17:F17"/>
    <mergeCell ref="G17:T17"/>
    <mergeCell ref="U17:AB17"/>
    <mergeCell ref="C18:D18"/>
    <mergeCell ref="E18:F18"/>
    <mergeCell ref="G18:T18"/>
    <mergeCell ref="U18:AB18"/>
    <mergeCell ref="C19:D19"/>
    <mergeCell ref="E19:F19"/>
    <mergeCell ref="G19:T19"/>
    <mergeCell ref="U19:AB19"/>
    <mergeCell ref="B20:AB20"/>
    <mergeCell ref="B23:AB24"/>
    <mergeCell ref="C26:E26"/>
    <mergeCell ref="F26:G26"/>
    <mergeCell ref="H26:J26"/>
    <mergeCell ref="K26:L26"/>
    <mergeCell ref="M26:P26"/>
    <mergeCell ref="Q26:V26"/>
    <mergeCell ref="W26:AB26"/>
    <mergeCell ref="C27:E27"/>
    <mergeCell ref="F27:G27"/>
    <mergeCell ref="H27:J27"/>
    <mergeCell ref="K27:L27"/>
    <mergeCell ref="M27:P27"/>
    <mergeCell ref="Q27:V27"/>
    <mergeCell ref="W27:AB27"/>
    <mergeCell ref="C28:E28"/>
    <mergeCell ref="F28:G28"/>
    <mergeCell ref="H28:J28"/>
    <mergeCell ref="K28:L28"/>
    <mergeCell ref="M28:P28"/>
    <mergeCell ref="Q28:V28"/>
    <mergeCell ref="W28:AB28"/>
    <mergeCell ref="C29:E29"/>
    <mergeCell ref="F29:G29"/>
    <mergeCell ref="H29:J29"/>
    <mergeCell ref="K29:L29"/>
    <mergeCell ref="M29:P29"/>
    <mergeCell ref="Q29:V29"/>
    <mergeCell ref="W29:AB29"/>
    <mergeCell ref="C30:E30"/>
    <mergeCell ref="F30:G30"/>
    <mergeCell ref="H30:J30"/>
    <mergeCell ref="K30:L30"/>
    <mergeCell ref="M30:P30"/>
    <mergeCell ref="Q30:V30"/>
    <mergeCell ref="W30:AB30"/>
    <mergeCell ref="C31:E31"/>
    <mergeCell ref="F31:G31"/>
    <mergeCell ref="H31:J31"/>
    <mergeCell ref="K31:L31"/>
    <mergeCell ref="M31:P31"/>
    <mergeCell ref="Q31:V31"/>
    <mergeCell ref="W31:AB31"/>
    <mergeCell ref="C32:E32"/>
    <mergeCell ref="F32:G32"/>
    <mergeCell ref="H32:J38"/>
    <mergeCell ref="K32:L32"/>
    <mergeCell ref="M32:P32"/>
    <mergeCell ref="Q32:V32"/>
    <mergeCell ref="W32:AB32"/>
    <mergeCell ref="C33:E33"/>
    <mergeCell ref="F33:G33"/>
    <mergeCell ref="K33:L33"/>
    <mergeCell ref="M33:P33"/>
    <mergeCell ref="Q33:V33"/>
    <mergeCell ref="W33:AB33"/>
    <mergeCell ref="C34:E34"/>
    <mergeCell ref="F34:G34"/>
    <mergeCell ref="K34:L34"/>
    <mergeCell ref="M34:P34"/>
    <mergeCell ref="Q34:V34"/>
    <mergeCell ref="W34:AB34"/>
    <mergeCell ref="C35:E35"/>
    <mergeCell ref="F35:G35"/>
    <mergeCell ref="K35:L35"/>
    <mergeCell ref="M35:P35"/>
    <mergeCell ref="Q35:V35"/>
    <mergeCell ref="W35:AB35"/>
    <mergeCell ref="C36:E36"/>
    <mergeCell ref="F36:G36"/>
    <mergeCell ref="K36:L36"/>
    <mergeCell ref="M36:P36"/>
    <mergeCell ref="Q36:V36"/>
    <mergeCell ref="W36:AB36"/>
    <mergeCell ref="C37:E37"/>
    <mergeCell ref="F37:G37"/>
    <mergeCell ref="K37:L37"/>
    <mergeCell ref="M37:P37"/>
    <mergeCell ref="Q37:V37"/>
    <mergeCell ref="W37:AB37"/>
    <mergeCell ref="C38:E38"/>
    <mergeCell ref="F38:G38"/>
    <mergeCell ref="K38:L38"/>
    <mergeCell ref="M38:P38"/>
    <mergeCell ref="Q38:V38"/>
    <mergeCell ref="W38:AB38"/>
    <mergeCell ref="C39:E39"/>
    <mergeCell ref="F39:G39"/>
    <mergeCell ref="H39:J39"/>
    <mergeCell ref="K39:L39"/>
    <mergeCell ref="M39:P39"/>
    <mergeCell ref="Q39:V39"/>
    <mergeCell ref="W39:AB39"/>
    <mergeCell ref="C40:E40"/>
    <mergeCell ref="F40:G40"/>
    <mergeCell ref="H40:J40"/>
    <mergeCell ref="K40:L40"/>
    <mergeCell ref="M40:P40"/>
    <mergeCell ref="Q40:V40"/>
    <mergeCell ref="W40:AB40"/>
    <mergeCell ref="C41:E41"/>
    <mergeCell ref="F41:G41"/>
    <mergeCell ref="H41:J41"/>
    <mergeCell ref="K41:L41"/>
    <mergeCell ref="M41:P41"/>
    <mergeCell ref="Q41:V41"/>
    <mergeCell ref="W41:AB41"/>
    <mergeCell ref="C42:E42"/>
    <mergeCell ref="F42:G42"/>
    <mergeCell ref="H42:J42"/>
    <mergeCell ref="K42:L42"/>
    <mergeCell ref="M42:P42"/>
    <mergeCell ref="Q42:V42"/>
    <mergeCell ref="W42:AB42"/>
    <mergeCell ref="C43:E43"/>
    <mergeCell ref="F43:G43"/>
    <mergeCell ref="H43:J43"/>
    <mergeCell ref="K43:L43"/>
    <mergeCell ref="M43:P43"/>
    <mergeCell ref="Q43:V43"/>
    <mergeCell ref="W43:AB43"/>
    <mergeCell ref="C44:E44"/>
    <mergeCell ref="F44:G44"/>
    <mergeCell ref="H44:J44"/>
    <mergeCell ref="K44:L44"/>
    <mergeCell ref="M44:P44"/>
    <mergeCell ref="Q44:V44"/>
    <mergeCell ref="W44:AB44"/>
    <mergeCell ref="C45:E45"/>
    <mergeCell ref="F45:G45"/>
    <mergeCell ref="H45:J45"/>
    <mergeCell ref="K45:L45"/>
    <mergeCell ref="M45:P45"/>
    <mergeCell ref="Q45:V45"/>
    <mergeCell ref="W45:AB45"/>
    <mergeCell ref="C46:E46"/>
    <mergeCell ref="F46:G46"/>
    <mergeCell ref="H46:J46"/>
    <mergeCell ref="K46:L46"/>
    <mergeCell ref="M46:P46"/>
    <mergeCell ref="Q46:V46"/>
    <mergeCell ref="W46:AB46"/>
    <mergeCell ref="C47:E47"/>
    <mergeCell ref="F47:G47"/>
    <mergeCell ref="H47:J47"/>
    <mergeCell ref="K47:L47"/>
    <mergeCell ref="M47:P47"/>
    <mergeCell ref="Q47:V47"/>
    <mergeCell ref="W47:AB47"/>
    <mergeCell ref="C48:E48"/>
    <mergeCell ref="F48:G48"/>
    <mergeCell ref="H48:J48"/>
    <mergeCell ref="K48:L48"/>
    <mergeCell ref="M48:P48"/>
    <mergeCell ref="Q48:V48"/>
    <mergeCell ref="W48:AB48"/>
    <mergeCell ref="C49:E49"/>
    <mergeCell ref="F49:G49"/>
    <mergeCell ref="H49:J49"/>
    <mergeCell ref="K49:L49"/>
    <mergeCell ref="M49:P49"/>
    <mergeCell ref="Q49:V49"/>
    <mergeCell ref="W49:AB49"/>
    <mergeCell ref="C50:E50"/>
    <mergeCell ref="F50:G50"/>
    <mergeCell ref="H50:J50"/>
    <mergeCell ref="K50:L50"/>
    <mergeCell ref="M50:P50"/>
    <mergeCell ref="Q50:V50"/>
    <mergeCell ref="W50:AB50"/>
    <mergeCell ref="C51:E51"/>
    <mergeCell ref="F51:G51"/>
    <mergeCell ref="H51:J51"/>
    <mergeCell ref="K51:L51"/>
    <mergeCell ref="M51:P51"/>
    <mergeCell ref="Q51:V51"/>
    <mergeCell ref="W51:AB51"/>
    <mergeCell ref="C52:E52"/>
    <mergeCell ref="F52:G52"/>
    <mergeCell ref="H52:J52"/>
    <mergeCell ref="K52:L52"/>
    <mergeCell ref="M52:P52"/>
    <mergeCell ref="Q52:V52"/>
    <mergeCell ref="W52:AB52"/>
    <mergeCell ref="C53:E53"/>
    <mergeCell ref="F53:G53"/>
    <mergeCell ref="H53:J53"/>
    <mergeCell ref="K53:L53"/>
    <mergeCell ref="M53:P53"/>
    <mergeCell ref="Q53:V53"/>
    <mergeCell ref="W53:AB53"/>
    <mergeCell ref="C54:E54"/>
    <mergeCell ref="F54:G54"/>
    <mergeCell ref="H54:J54"/>
    <mergeCell ref="K54:L54"/>
    <mergeCell ref="M54:P54"/>
    <mergeCell ref="Q54:V54"/>
    <mergeCell ref="W54:AB54"/>
    <mergeCell ref="C55:E55"/>
    <mergeCell ref="F55:G55"/>
    <mergeCell ref="H55:J55"/>
    <mergeCell ref="K55:L55"/>
    <mergeCell ref="M55:P55"/>
    <mergeCell ref="Q55:V55"/>
    <mergeCell ref="W55:AB55"/>
    <mergeCell ref="C56:E56"/>
    <mergeCell ref="F56:G56"/>
    <mergeCell ref="H56:J56"/>
    <mergeCell ref="K56:L56"/>
    <mergeCell ref="M56:P56"/>
    <mergeCell ref="Q56:V56"/>
    <mergeCell ref="W56:AB56"/>
    <mergeCell ref="C57:E57"/>
    <mergeCell ref="F57:G57"/>
    <mergeCell ref="H57:J57"/>
    <mergeCell ref="K57:L57"/>
    <mergeCell ref="M57:P57"/>
    <mergeCell ref="Q57:V57"/>
    <mergeCell ref="W57:AB57"/>
    <mergeCell ref="C58:E58"/>
    <mergeCell ref="F58:G58"/>
    <mergeCell ref="H58:J58"/>
    <mergeCell ref="K58:L58"/>
    <mergeCell ref="M58:P58"/>
    <mergeCell ref="Q58:V58"/>
    <mergeCell ref="W58:AB58"/>
    <mergeCell ref="C59:E59"/>
    <mergeCell ref="F59:G59"/>
    <mergeCell ref="H59:J59"/>
    <mergeCell ref="K59:L59"/>
    <mergeCell ref="M59:P59"/>
    <mergeCell ref="Q59:V59"/>
    <mergeCell ref="W59:AB59"/>
    <mergeCell ref="C60:E60"/>
    <mergeCell ref="F60:G60"/>
    <mergeCell ref="H60:J60"/>
    <mergeCell ref="K60:L60"/>
    <mergeCell ref="M60:P60"/>
    <mergeCell ref="Q60:V60"/>
    <mergeCell ref="W60:AB60"/>
    <mergeCell ref="C61:E61"/>
    <mergeCell ref="F61:G61"/>
    <mergeCell ref="H61:J61"/>
    <mergeCell ref="K61:L61"/>
    <mergeCell ref="M61:P61"/>
    <mergeCell ref="Q61:V61"/>
    <mergeCell ref="W61:AB61"/>
    <mergeCell ref="C62:E62"/>
    <mergeCell ref="F62:G62"/>
    <mergeCell ref="H62:J62"/>
    <mergeCell ref="K62:L62"/>
    <mergeCell ref="M62:P62"/>
    <mergeCell ref="Q62:V62"/>
    <mergeCell ref="W62:AB62"/>
    <mergeCell ref="C63:E63"/>
    <mergeCell ref="F63:G63"/>
    <mergeCell ref="H63:J63"/>
    <mergeCell ref="K63:L63"/>
    <mergeCell ref="M63:P63"/>
    <mergeCell ref="Q63:V63"/>
    <mergeCell ref="W63:AB63"/>
    <mergeCell ref="C64:E64"/>
    <mergeCell ref="F64:G64"/>
    <mergeCell ref="H64:J64"/>
    <mergeCell ref="K64:L64"/>
    <mergeCell ref="M64:P64"/>
    <mergeCell ref="Q64:V64"/>
    <mergeCell ref="W64:AB64"/>
    <mergeCell ref="C65:E65"/>
    <mergeCell ref="F65:G65"/>
    <mergeCell ref="H65:J65"/>
    <mergeCell ref="K65:L65"/>
    <mergeCell ref="M65:P65"/>
    <mergeCell ref="Q65:V65"/>
    <mergeCell ref="W65:AB65"/>
    <mergeCell ref="C66:E66"/>
    <mergeCell ref="F66:G66"/>
    <mergeCell ref="H66:J66"/>
    <mergeCell ref="K66:L66"/>
    <mergeCell ref="M66:P66"/>
    <mergeCell ref="Q66:V66"/>
    <mergeCell ref="W66:AB66"/>
    <mergeCell ref="C67:E67"/>
    <mergeCell ref="F67:G67"/>
    <mergeCell ref="H67:J67"/>
    <mergeCell ref="K67:L67"/>
    <mergeCell ref="M67:P67"/>
    <mergeCell ref="Q67:V67"/>
    <mergeCell ref="W67:AB67"/>
    <mergeCell ref="C68:E68"/>
    <mergeCell ref="F68:G68"/>
    <mergeCell ref="H68:J68"/>
    <mergeCell ref="K68:L68"/>
    <mergeCell ref="M68:P68"/>
    <mergeCell ref="Q68:V68"/>
    <mergeCell ref="W68:AB68"/>
    <mergeCell ref="C69:E69"/>
    <mergeCell ref="F69:G69"/>
    <mergeCell ref="H69:J69"/>
    <mergeCell ref="K69:L69"/>
    <mergeCell ref="M69:P69"/>
    <mergeCell ref="Q69:V69"/>
    <mergeCell ref="W69:AB69"/>
    <mergeCell ref="C70:E70"/>
    <mergeCell ref="F70:G70"/>
    <mergeCell ref="H70:J70"/>
    <mergeCell ref="K70:L70"/>
    <mergeCell ref="M70:P70"/>
    <mergeCell ref="Q70:V70"/>
    <mergeCell ref="W70:AB70"/>
    <mergeCell ref="C71:E71"/>
    <mergeCell ref="F71:G71"/>
    <mergeCell ref="H71:J71"/>
    <mergeCell ref="K71:L71"/>
    <mergeCell ref="M71:P71"/>
    <mergeCell ref="Q71:V71"/>
    <mergeCell ref="W71:AB71"/>
  </mergeCells>
  <phoneticPr fontId="45" type="noConversion"/>
  <pageMargins left="0.7" right="0.7" top="0.75" bottom="0.75"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Y41"/>
  <sheetViews>
    <sheetView zoomScale="85" zoomScaleNormal="85" workbookViewId="0">
      <selection activeCell="B4" sqref="B4"/>
    </sheetView>
  </sheetViews>
  <sheetFormatPr defaultRowHeight="16.5" x14ac:dyDescent="0.3"/>
  <cols>
    <col min="1" max="1" width="3.375" customWidth="1"/>
    <col min="2" max="1025" width="9" customWidth="1"/>
  </cols>
  <sheetData>
    <row r="2" spans="2:25" ht="24.95" customHeight="1" x14ac:dyDescent="0.3">
      <c r="B2" s="236" t="s">
        <v>0</v>
      </c>
      <c r="C2" s="236"/>
      <c r="D2" s="236"/>
      <c r="E2" s="237" t="s">
        <v>1</v>
      </c>
      <c r="F2" s="237"/>
      <c r="G2" s="237"/>
      <c r="H2" s="237"/>
      <c r="I2" s="237"/>
      <c r="J2" s="237"/>
      <c r="K2" s="237"/>
      <c r="L2" s="237"/>
      <c r="M2" s="237"/>
      <c r="N2" s="237"/>
      <c r="O2" s="237"/>
      <c r="P2" s="237"/>
      <c r="Q2" s="237"/>
      <c r="R2" s="238" t="s">
        <v>2</v>
      </c>
      <c r="S2" s="238"/>
      <c r="T2" s="238"/>
      <c r="U2" s="374" t="str">
        <f>'00_팀프로젝트_큰틀'!P2</f>
        <v>홍길순</v>
      </c>
      <c r="V2" s="374"/>
      <c r="W2" s="374"/>
      <c r="X2" s="374"/>
      <c r="Y2" s="374"/>
    </row>
    <row r="3" spans="2:25" ht="24.95" customHeight="1" x14ac:dyDescent="0.3">
      <c r="B3" s="240" t="s">
        <v>4</v>
      </c>
      <c r="C3" s="240"/>
      <c r="D3" s="240"/>
      <c r="E3" s="241" t="s">
        <v>5</v>
      </c>
      <c r="F3" s="241"/>
      <c r="G3" s="241"/>
      <c r="H3" s="241"/>
      <c r="I3" s="241"/>
      <c r="J3" s="241"/>
      <c r="K3" s="241"/>
      <c r="L3" s="241"/>
      <c r="M3" s="241"/>
      <c r="N3" s="241"/>
      <c r="O3" s="241"/>
      <c r="P3" s="241"/>
      <c r="Q3" s="241"/>
      <c r="R3" s="242" t="s">
        <v>6</v>
      </c>
      <c r="S3" s="242"/>
      <c r="T3" s="242"/>
      <c r="U3" s="375">
        <v>44806</v>
      </c>
      <c r="V3" s="375"/>
      <c r="W3" s="375"/>
      <c r="X3" s="375"/>
      <c r="Y3" s="375"/>
    </row>
    <row r="4" spans="2:25" ht="24.95" customHeight="1" x14ac:dyDescent="0.3">
      <c r="B4" s="361" t="s">
        <v>61</v>
      </c>
      <c r="C4" s="361"/>
      <c r="D4" s="361"/>
      <c r="E4" s="361"/>
      <c r="F4" s="361"/>
      <c r="G4" s="361"/>
      <c r="H4" s="361"/>
      <c r="I4" s="361"/>
      <c r="J4" s="361"/>
      <c r="K4" s="361"/>
      <c r="L4" s="361"/>
      <c r="M4" s="361"/>
      <c r="N4" s="361"/>
      <c r="O4" s="361"/>
      <c r="P4" s="361"/>
      <c r="Q4" s="361"/>
      <c r="R4" s="361"/>
      <c r="S4" s="361"/>
      <c r="T4" s="361"/>
      <c r="U4" s="361"/>
      <c r="V4" s="361"/>
      <c r="W4" s="361"/>
      <c r="X4" s="361"/>
      <c r="Y4" s="361"/>
    </row>
    <row r="5" spans="2:25" ht="24.95" customHeight="1" x14ac:dyDescent="0.3">
      <c r="B5" s="370" t="s">
        <v>635</v>
      </c>
      <c r="C5" s="370"/>
      <c r="D5" s="370"/>
      <c r="E5" s="370"/>
      <c r="F5" s="370"/>
      <c r="G5" s="370"/>
      <c r="H5" s="370"/>
      <c r="I5" s="370"/>
      <c r="J5" s="370"/>
      <c r="K5" s="370"/>
      <c r="L5" s="370"/>
      <c r="M5" s="370"/>
      <c r="N5" s="370"/>
      <c r="O5" s="370"/>
      <c r="P5" s="370"/>
      <c r="Q5" s="370"/>
      <c r="R5" s="370"/>
      <c r="S5" s="370"/>
      <c r="T5" s="370"/>
      <c r="U5" s="370"/>
      <c r="V5" s="370"/>
      <c r="W5" s="370"/>
      <c r="X5" s="370"/>
      <c r="Y5" s="370"/>
    </row>
    <row r="6" spans="2:25" ht="39.950000000000003" customHeight="1" x14ac:dyDescent="0.3">
      <c r="B6" s="370"/>
      <c r="C6" s="370"/>
      <c r="D6" s="370"/>
      <c r="E6" s="370"/>
      <c r="F6" s="370"/>
      <c r="G6" s="370"/>
      <c r="H6" s="370"/>
      <c r="I6" s="370"/>
      <c r="J6" s="370"/>
      <c r="K6" s="370"/>
      <c r="L6" s="370"/>
      <c r="M6" s="370"/>
      <c r="N6" s="370"/>
      <c r="O6" s="370"/>
      <c r="P6" s="370"/>
      <c r="Q6" s="370"/>
      <c r="R6" s="370"/>
      <c r="S6" s="370"/>
      <c r="T6" s="370"/>
      <c r="U6" s="370"/>
      <c r="V6" s="370"/>
      <c r="W6" s="370"/>
      <c r="X6" s="370"/>
      <c r="Y6" s="370"/>
    </row>
    <row r="7" spans="2:25" ht="39.950000000000003" customHeight="1" x14ac:dyDescent="0.3">
      <c r="B7" s="370"/>
      <c r="C7" s="370"/>
      <c r="D7" s="370"/>
      <c r="E7" s="370"/>
      <c r="F7" s="370"/>
      <c r="G7" s="370"/>
      <c r="H7" s="370"/>
      <c r="I7" s="370"/>
      <c r="J7" s="370"/>
      <c r="K7" s="370"/>
      <c r="L7" s="370"/>
      <c r="M7" s="370"/>
      <c r="N7" s="370"/>
      <c r="O7" s="370"/>
      <c r="P7" s="370"/>
      <c r="Q7" s="370"/>
      <c r="R7" s="370"/>
      <c r="S7" s="370"/>
      <c r="T7" s="370"/>
      <c r="U7" s="370"/>
      <c r="V7" s="370"/>
      <c r="W7" s="370"/>
      <c r="X7" s="370"/>
      <c r="Y7" s="370"/>
    </row>
    <row r="8" spans="2:25" ht="39.950000000000003" customHeight="1" x14ac:dyDescent="0.3">
      <c r="B8" s="370"/>
      <c r="C8" s="370"/>
      <c r="D8" s="370"/>
      <c r="E8" s="370"/>
      <c r="F8" s="370"/>
      <c r="G8" s="370"/>
      <c r="H8" s="370"/>
      <c r="I8" s="370"/>
      <c r="J8" s="370"/>
      <c r="K8" s="370"/>
      <c r="L8" s="370"/>
      <c r="M8" s="370"/>
      <c r="N8" s="370"/>
      <c r="O8" s="370"/>
      <c r="P8" s="370"/>
      <c r="Q8" s="370"/>
      <c r="R8" s="370"/>
      <c r="S8" s="370"/>
      <c r="T8" s="370"/>
      <c r="U8" s="370"/>
      <c r="V8" s="370"/>
      <c r="W8" s="370"/>
      <c r="X8" s="370"/>
      <c r="Y8" s="370"/>
    </row>
    <row r="10" spans="2:25" ht="30" customHeight="1" x14ac:dyDescent="0.3">
      <c r="B10" s="255" t="s">
        <v>636</v>
      </c>
      <c r="C10" s="255"/>
      <c r="D10" s="255"/>
      <c r="E10" s="255"/>
      <c r="F10" s="255"/>
      <c r="G10" s="255"/>
      <c r="H10" s="255"/>
      <c r="I10" s="255"/>
      <c r="J10" s="255"/>
      <c r="K10" s="255"/>
      <c r="L10" s="255"/>
      <c r="M10" s="255"/>
      <c r="N10" s="255"/>
      <c r="O10" s="255"/>
      <c r="P10" s="255"/>
      <c r="Q10" s="255"/>
      <c r="R10" s="255"/>
      <c r="S10" s="255"/>
      <c r="T10" s="255"/>
      <c r="U10" s="255"/>
      <c r="V10" s="255"/>
      <c r="W10" s="255"/>
      <c r="X10" s="255"/>
      <c r="Y10" s="255"/>
    </row>
    <row r="11" spans="2:25" ht="30" customHeight="1" x14ac:dyDescent="0.3">
      <c r="B11" s="255"/>
      <c r="C11" s="255"/>
      <c r="D11" s="255"/>
      <c r="E11" s="255"/>
      <c r="F11" s="255"/>
      <c r="G11" s="255"/>
      <c r="H11" s="255"/>
      <c r="I11" s="255"/>
      <c r="J11" s="255"/>
      <c r="K11" s="255"/>
      <c r="L11" s="255"/>
      <c r="M11" s="255"/>
      <c r="N11" s="255"/>
      <c r="O11" s="255"/>
      <c r="P11" s="255"/>
      <c r="Q11" s="255"/>
      <c r="R11" s="255"/>
      <c r="S11" s="255"/>
      <c r="T11" s="255"/>
      <c r="U11" s="255"/>
      <c r="V11" s="255"/>
      <c r="W11" s="255"/>
      <c r="X11" s="255"/>
      <c r="Y11" s="255"/>
    </row>
    <row r="13" spans="2:25" ht="36" customHeight="1" x14ac:dyDescent="0.3">
      <c r="B13" s="31" t="s">
        <v>637</v>
      </c>
      <c r="C13" s="371" t="s">
        <v>638</v>
      </c>
      <c r="D13" s="371"/>
      <c r="E13" s="371"/>
      <c r="F13" s="371"/>
      <c r="G13" s="371" t="s">
        <v>639</v>
      </c>
      <c r="H13" s="371"/>
      <c r="I13" s="371"/>
      <c r="J13" s="371"/>
      <c r="K13" s="371" t="s">
        <v>640</v>
      </c>
      <c r="L13" s="371"/>
      <c r="M13" s="372" t="s">
        <v>641</v>
      </c>
      <c r="N13" s="372"/>
      <c r="O13" s="372"/>
      <c r="P13" s="32" t="s">
        <v>642</v>
      </c>
      <c r="Q13" s="371" t="s">
        <v>643</v>
      </c>
      <c r="R13" s="371"/>
      <c r="S13" s="371"/>
      <c r="T13" s="32" t="s">
        <v>644</v>
      </c>
      <c r="U13" s="371" t="s">
        <v>645</v>
      </c>
      <c r="V13" s="371"/>
      <c r="W13" s="373" t="s">
        <v>559</v>
      </c>
      <c r="X13" s="373"/>
      <c r="Y13" s="373"/>
    </row>
    <row r="14" spans="2:25" ht="30" customHeight="1" x14ac:dyDescent="0.3">
      <c r="B14" s="4">
        <v>1</v>
      </c>
      <c r="C14" s="248" t="s">
        <v>300</v>
      </c>
      <c r="D14" s="248"/>
      <c r="E14" s="248"/>
      <c r="F14" s="248"/>
      <c r="G14" s="248" t="s">
        <v>646</v>
      </c>
      <c r="H14" s="248"/>
      <c r="I14" s="248"/>
      <c r="J14" s="248"/>
      <c r="K14" s="248" t="s">
        <v>647</v>
      </c>
      <c r="L14" s="248"/>
      <c r="M14" s="248" t="s">
        <v>648</v>
      </c>
      <c r="N14" s="248"/>
      <c r="O14" s="248"/>
      <c r="P14" s="5" t="s">
        <v>649</v>
      </c>
      <c r="Q14" s="248"/>
      <c r="R14" s="248"/>
      <c r="S14" s="248"/>
      <c r="T14" s="5" t="s">
        <v>650</v>
      </c>
      <c r="U14" s="369">
        <v>44197</v>
      </c>
      <c r="V14" s="369"/>
      <c r="W14" s="249"/>
      <c r="X14" s="249"/>
      <c r="Y14" s="249"/>
    </row>
    <row r="15" spans="2:25" ht="30" customHeight="1" x14ac:dyDescent="0.3">
      <c r="B15" s="4">
        <v>2</v>
      </c>
      <c r="C15" s="248" t="s">
        <v>537</v>
      </c>
      <c r="D15" s="248"/>
      <c r="E15" s="248"/>
      <c r="F15" s="248"/>
      <c r="G15" s="248" t="s">
        <v>651</v>
      </c>
      <c r="H15" s="248"/>
      <c r="I15" s="248"/>
      <c r="J15" s="248"/>
      <c r="K15" s="248" t="s">
        <v>647</v>
      </c>
      <c r="L15" s="248"/>
      <c r="M15" s="248"/>
      <c r="N15" s="248"/>
      <c r="O15" s="248"/>
      <c r="P15" s="5" t="s">
        <v>649</v>
      </c>
      <c r="Q15" s="248"/>
      <c r="R15" s="248"/>
      <c r="S15" s="248"/>
      <c r="T15" s="5" t="s">
        <v>650</v>
      </c>
      <c r="U15" s="369">
        <v>44197</v>
      </c>
      <c r="V15" s="369"/>
      <c r="W15" s="249"/>
      <c r="X15" s="249"/>
      <c r="Y15" s="249"/>
    </row>
    <row r="16" spans="2:25" ht="30" customHeight="1" x14ac:dyDescent="0.3">
      <c r="B16" s="4">
        <v>3</v>
      </c>
      <c r="C16" s="248" t="s">
        <v>652</v>
      </c>
      <c r="D16" s="248"/>
      <c r="E16" s="248"/>
      <c r="F16" s="248"/>
      <c r="G16" s="248" t="s">
        <v>653</v>
      </c>
      <c r="H16" s="248"/>
      <c r="I16" s="248"/>
      <c r="J16" s="248"/>
      <c r="K16" s="248" t="s">
        <v>654</v>
      </c>
      <c r="L16" s="248"/>
      <c r="M16" s="248"/>
      <c r="N16" s="248"/>
      <c r="O16" s="248"/>
      <c r="P16" s="5" t="s">
        <v>649</v>
      </c>
      <c r="Q16" s="248"/>
      <c r="R16" s="248"/>
      <c r="S16" s="248"/>
      <c r="T16" s="5" t="s">
        <v>650</v>
      </c>
      <c r="U16" s="369">
        <v>44197</v>
      </c>
      <c r="V16" s="369"/>
      <c r="W16" s="249"/>
      <c r="X16" s="249"/>
      <c r="Y16" s="249"/>
    </row>
    <row r="17" spans="2:25" ht="64.5" customHeight="1" x14ac:dyDescent="0.3">
      <c r="B17" s="4">
        <v>4</v>
      </c>
      <c r="C17" s="248" t="s">
        <v>655</v>
      </c>
      <c r="D17" s="248"/>
      <c r="E17" s="248"/>
      <c r="F17" s="248"/>
      <c r="G17" s="248" t="s">
        <v>656</v>
      </c>
      <c r="H17" s="248"/>
      <c r="I17" s="248"/>
      <c r="J17" s="248"/>
      <c r="K17" s="248" t="s">
        <v>657</v>
      </c>
      <c r="L17" s="248"/>
      <c r="M17" s="248"/>
      <c r="N17" s="248"/>
      <c r="O17" s="248"/>
      <c r="P17" s="5" t="s">
        <v>650</v>
      </c>
      <c r="Q17" s="248"/>
      <c r="R17" s="248"/>
      <c r="S17" s="248"/>
      <c r="T17" s="5" t="s">
        <v>658</v>
      </c>
      <c r="U17" s="369">
        <v>44228</v>
      </c>
      <c r="V17" s="369"/>
      <c r="W17" s="320" t="s">
        <v>659</v>
      </c>
      <c r="X17" s="320"/>
      <c r="Y17" s="320"/>
    </row>
    <row r="18" spans="2:25" ht="30" customHeight="1" x14ac:dyDescent="0.3">
      <c r="B18" s="28">
        <v>5</v>
      </c>
      <c r="C18" s="245" t="s">
        <v>660</v>
      </c>
      <c r="D18" s="245"/>
      <c r="E18" s="245"/>
      <c r="F18" s="245"/>
      <c r="G18" s="245" t="s">
        <v>661</v>
      </c>
      <c r="H18" s="245"/>
      <c r="I18" s="245"/>
      <c r="J18" s="245"/>
      <c r="K18" s="245" t="s">
        <v>662</v>
      </c>
      <c r="L18" s="245"/>
      <c r="M18" s="245"/>
      <c r="N18" s="245"/>
      <c r="O18" s="245"/>
      <c r="P18" s="8" t="s">
        <v>649</v>
      </c>
      <c r="Q18" s="245"/>
      <c r="R18" s="245"/>
      <c r="S18" s="245"/>
      <c r="T18" s="8" t="s">
        <v>658</v>
      </c>
      <c r="U18" s="245"/>
      <c r="V18" s="245"/>
      <c r="W18" s="246"/>
      <c r="X18" s="246"/>
      <c r="Y18" s="246"/>
    </row>
    <row r="19" spans="2:25" ht="30" customHeight="1" x14ac:dyDescent="0.3"/>
    <row r="20" spans="2:25" ht="30" customHeight="1" x14ac:dyDescent="0.3"/>
    <row r="21" spans="2:25" ht="30" customHeight="1" x14ac:dyDescent="0.3"/>
    <row r="22" spans="2:25" ht="30" customHeight="1" x14ac:dyDescent="0.3"/>
    <row r="23" spans="2:25" ht="30" customHeight="1" x14ac:dyDescent="0.3"/>
    <row r="24" spans="2:25" ht="30" customHeight="1" x14ac:dyDescent="0.3"/>
    <row r="25" spans="2:25" ht="30" customHeight="1" x14ac:dyDescent="0.3"/>
    <row r="26" spans="2:25" ht="30" customHeight="1" x14ac:dyDescent="0.3"/>
    <row r="27" spans="2:25" ht="30" customHeight="1" x14ac:dyDescent="0.3"/>
    <row r="28" spans="2:25" ht="30" customHeight="1" x14ac:dyDescent="0.3"/>
    <row r="29" spans="2:25" ht="30" customHeight="1" x14ac:dyDescent="0.3"/>
    <row r="30" spans="2:25" ht="30" customHeight="1" x14ac:dyDescent="0.3"/>
    <row r="31" spans="2:25" ht="30" customHeight="1" x14ac:dyDescent="0.3"/>
    <row r="32" spans="2:25" ht="30" customHeight="1" x14ac:dyDescent="0.3"/>
    <row r="33" ht="30" customHeight="1" x14ac:dyDescent="0.3"/>
    <row r="34" ht="30" customHeight="1" x14ac:dyDescent="0.3"/>
    <row r="35" ht="30" customHeight="1" x14ac:dyDescent="0.3"/>
    <row r="36" ht="30" customHeight="1" x14ac:dyDescent="0.3"/>
    <row r="37" ht="24.95" customHeight="1" x14ac:dyDescent="0.3"/>
    <row r="38" ht="24.95" customHeight="1" x14ac:dyDescent="0.3"/>
    <row r="39" ht="24.95" customHeight="1" x14ac:dyDescent="0.3"/>
    <row r="40" ht="24.95" customHeight="1" x14ac:dyDescent="0.3"/>
    <row r="41" ht="24.95" customHeight="1" x14ac:dyDescent="0.3"/>
  </sheetData>
  <mergeCells count="53">
    <mergeCell ref="B2:D2"/>
    <mergeCell ref="E2:Q2"/>
    <mergeCell ref="R2:T2"/>
    <mergeCell ref="U2:Y2"/>
    <mergeCell ref="B3:D3"/>
    <mergeCell ref="E3:Q3"/>
    <mergeCell ref="R3:T3"/>
    <mergeCell ref="U3:Y3"/>
    <mergeCell ref="B4:Y4"/>
    <mergeCell ref="B5:Y8"/>
    <mergeCell ref="B10:Y11"/>
    <mergeCell ref="C13:F13"/>
    <mergeCell ref="G13:J13"/>
    <mergeCell ref="K13:L13"/>
    <mergeCell ref="M13:O13"/>
    <mergeCell ref="Q13:S13"/>
    <mergeCell ref="U13:V13"/>
    <mergeCell ref="W13:Y13"/>
    <mergeCell ref="U14:V14"/>
    <mergeCell ref="W14:Y14"/>
    <mergeCell ref="C15:F15"/>
    <mergeCell ref="G15:J15"/>
    <mergeCell ref="K15:L15"/>
    <mergeCell ref="M15:O15"/>
    <mergeCell ref="Q15:S15"/>
    <mergeCell ref="U15:V15"/>
    <mergeCell ref="W15:Y15"/>
    <mergeCell ref="C14:F14"/>
    <mergeCell ref="G14:J14"/>
    <mergeCell ref="K14:L14"/>
    <mergeCell ref="M14:O14"/>
    <mergeCell ref="Q14:S14"/>
    <mergeCell ref="U16:V16"/>
    <mergeCell ref="W16:Y16"/>
    <mergeCell ref="C17:F17"/>
    <mergeCell ref="G17:J17"/>
    <mergeCell ref="K17:L17"/>
    <mergeCell ref="M17:O17"/>
    <mergeCell ref="Q17:S17"/>
    <mergeCell ref="U17:V17"/>
    <mergeCell ref="W17:Y17"/>
    <mergeCell ref="C16:F16"/>
    <mergeCell ref="G16:J16"/>
    <mergeCell ref="K16:L16"/>
    <mergeCell ref="M16:O16"/>
    <mergeCell ref="Q16:S16"/>
    <mergeCell ref="U18:V18"/>
    <mergeCell ref="W18:Y18"/>
    <mergeCell ref="C18:F18"/>
    <mergeCell ref="G18:J18"/>
    <mergeCell ref="K18:L18"/>
    <mergeCell ref="M18:O18"/>
    <mergeCell ref="Q18:S18"/>
  </mergeCells>
  <phoneticPr fontId="45" type="noConversion"/>
  <pageMargins left="0.7" right="0.7" top="0.75" bottom="0.75" header="0.51180555555555496" footer="0.51180555555555496"/>
  <pageSetup paperSize="9"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Y47"/>
  <sheetViews>
    <sheetView zoomScale="85" zoomScaleNormal="85" workbookViewId="0">
      <selection activeCell="B4" sqref="B4"/>
    </sheetView>
  </sheetViews>
  <sheetFormatPr defaultRowHeight="16.5" x14ac:dyDescent="0.3"/>
  <cols>
    <col min="1" max="1" width="3.375" customWidth="1"/>
    <col min="2" max="1025" width="9" customWidth="1"/>
  </cols>
  <sheetData>
    <row r="2" spans="2:25" ht="24.95" customHeight="1" x14ac:dyDescent="0.3">
      <c r="B2" s="236" t="s">
        <v>0</v>
      </c>
      <c r="C2" s="236"/>
      <c r="D2" s="236"/>
      <c r="E2" s="237" t="s">
        <v>1</v>
      </c>
      <c r="F2" s="237"/>
      <c r="G2" s="237"/>
      <c r="H2" s="237"/>
      <c r="I2" s="237"/>
      <c r="J2" s="237"/>
      <c r="K2" s="237"/>
      <c r="L2" s="237"/>
      <c r="M2" s="237"/>
      <c r="N2" s="237"/>
      <c r="O2" s="237"/>
      <c r="P2" s="237"/>
      <c r="Q2" s="237"/>
      <c r="R2" s="238" t="s">
        <v>2</v>
      </c>
      <c r="S2" s="238"/>
      <c r="T2" s="238"/>
      <c r="U2" s="374" t="str">
        <f>'00_팀프로젝트_큰틀'!P2</f>
        <v>홍길순</v>
      </c>
      <c r="V2" s="374"/>
      <c r="W2" s="374"/>
      <c r="X2" s="374"/>
      <c r="Y2" s="374"/>
    </row>
    <row r="3" spans="2:25" ht="24.95" customHeight="1" x14ac:dyDescent="0.3">
      <c r="B3" s="240" t="s">
        <v>4</v>
      </c>
      <c r="C3" s="240"/>
      <c r="D3" s="240"/>
      <c r="E3" s="237" t="s">
        <v>5</v>
      </c>
      <c r="F3" s="237"/>
      <c r="G3" s="237"/>
      <c r="H3" s="237"/>
      <c r="I3" s="237"/>
      <c r="J3" s="237"/>
      <c r="K3" s="237"/>
      <c r="L3" s="237"/>
      <c r="M3" s="237"/>
      <c r="N3" s="237"/>
      <c r="O3" s="237"/>
      <c r="P3" s="237"/>
      <c r="Q3" s="237"/>
      <c r="R3" s="242" t="s">
        <v>6</v>
      </c>
      <c r="S3" s="242"/>
      <c r="T3" s="242"/>
      <c r="U3" s="375">
        <v>44806</v>
      </c>
      <c r="V3" s="375"/>
      <c r="W3" s="375"/>
      <c r="X3" s="375"/>
      <c r="Y3" s="375"/>
    </row>
    <row r="4" spans="2:25" ht="24.95" customHeight="1" x14ac:dyDescent="0.3">
      <c r="B4" s="361" t="s">
        <v>61</v>
      </c>
      <c r="C4" s="361"/>
      <c r="D4" s="361"/>
      <c r="E4" s="361"/>
      <c r="F4" s="361"/>
      <c r="G4" s="361"/>
      <c r="H4" s="361"/>
      <c r="I4" s="361"/>
      <c r="J4" s="361"/>
      <c r="K4" s="361"/>
      <c r="L4" s="361"/>
      <c r="M4" s="361"/>
      <c r="N4" s="361"/>
      <c r="O4" s="361"/>
      <c r="P4" s="361"/>
      <c r="Q4" s="361"/>
      <c r="R4" s="361"/>
      <c r="S4" s="361"/>
      <c r="T4" s="361"/>
      <c r="U4" s="361"/>
      <c r="V4" s="361"/>
      <c r="W4" s="361"/>
      <c r="X4" s="361"/>
      <c r="Y4" s="361"/>
    </row>
    <row r="5" spans="2:25" ht="24.95" customHeight="1" x14ac:dyDescent="0.3">
      <c r="B5" s="370" t="s">
        <v>663</v>
      </c>
      <c r="C5" s="370"/>
      <c r="D5" s="370"/>
      <c r="E5" s="370"/>
      <c r="F5" s="370"/>
      <c r="G5" s="370"/>
      <c r="H5" s="370"/>
      <c r="I5" s="370"/>
      <c r="J5" s="370"/>
      <c r="K5" s="370"/>
      <c r="L5" s="370"/>
      <c r="M5" s="370"/>
      <c r="N5" s="370"/>
      <c r="O5" s="370"/>
      <c r="P5" s="370"/>
      <c r="Q5" s="370"/>
      <c r="R5" s="370"/>
      <c r="S5" s="370"/>
      <c r="T5" s="370"/>
      <c r="U5" s="370"/>
      <c r="V5" s="370"/>
      <c r="W5" s="370"/>
      <c r="X5" s="370"/>
      <c r="Y5" s="370"/>
    </row>
    <row r="6" spans="2:25" ht="39.950000000000003" customHeight="1" x14ac:dyDescent="0.3">
      <c r="B6" s="370"/>
      <c r="C6" s="370"/>
      <c r="D6" s="370"/>
      <c r="E6" s="370"/>
      <c r="F6" s="370"/>
      <c r="G6" s="370"/>
      <c r="H6" s="370"/>
      <c r="I6" s="370"/>
      <c r="J6" s="370"/>
      <c r="K6" s="370"/>
      <c r="L6" s="370"/>
      <c r="M6" s="370"/>
      <c r="N6" s="370"/>
      <c r="O6" s="370"/>
      <c r="P6" s="370"/>
      <c r="Q6" s="370"/>
      <c r="R6" s="370"/>
      <c r="S6" s="370"/>
      <c r="T6" s="370"/>
      <c r="U6" s="370"/>
      <c r="V6" s="370"/>
      <c r="W6" s="370"/>
      <c r="X6" s="370"/>
      <c r="Y6" s="370"/>
    </row>
    <row r="7" spans="2:25" ht="39.950000000000003" customHeight="1" x14ac:dyDescent="0.3">
      <c r="B7" s="370"/>
      <c r="C7" s="370"/>
      <c r="D7" s="370"/>
      <c r="E7" s="370"/>
      <c r="F7" s="370"/>
      <c r="G7" s="370"/>
      <c r="H7" s="370"/>
      <c r="I7" s="370"/>
      <c r="J7" s="370"/>
      <c r="K7" s="370"/>
      <c r="L7" s="370"/>
      <c r="M7" s="370"/>
      <c r="N7" s="370"/>
      <c r="O7" s="370"/>
      <c r="P7" s="370"/>
      <c r="Q7" s="370"/>
      <c r="R7" s="370"/>
      <c r="S7" s="370"/>
      <c r="T7" s="370"/>
      <c r="U7" s="370"/>
      <c r="V7" s="370"/>
      <c r="W7" s="370"/>
      <c r="X7" s="370"/>
      <c r="Y7" s="370"/>
    </row>
    <row r="8" spans="2:25" ht="39.950000000000003" customHeight="1" x14ac:dyDescent="0.3">
      <c r="B8" s="370"/>
      <c r="C8" s="370"/>
      <c r="D8" s="370"/>
      <c r="E8" s="370"/>
      <c r="F8" s="370"/>
      <c r="G8" s="370"/>
      <c r="H8" s="370"/>
      <c r="I8" s="370"/>
      <c r="J8" s="370"/>
      <c r="K8" s="370"/>
      <c r="L8" s="370"/>
      <c r="M8" s="370"/>
      <c r="N8" s="370"/>
      <c r="O8" s="370"/>
      <c r="P8" s="370"/>
      <c r="Q8" s="370"/>
      <c r="R8" s="370"/>
      <c r="S8" s="370"/>
      <c r="T8" s="370"/>
      <c r="U8" s="370"/>
      <c r="V8" s="370"/>
      <c r="W8" s="370"/>
      <c r="X8" s="370"/>
      <c r="Y8" s="370"/>
    </row>
    <row r="10" spans="2:25" ht="30" customHeight="1" x14ac:dyDescent="0.3">
      <c r="B10" s="255" t="s">
        <v>664</v>
      </c>
      <c r="C10" s="255"/>
      <c r="D10" s="255"/>
      <c r="E10" s="255"/>
      <c r="F10" s="255"/>
      <c r="G10" s="255"/>
      <c r="H10" s="255"/>
      <c r="I10" s="255"/>
      <c r="J10" s="255"/>
      <c r="K10" s="255"/>
      <c r="L10" s="255"/>
      <c r="M10" s="255"/>
      <c r="N10" s="255"/>
      <c r="O10" s="255"/>
      <c r="P10" s="255"/>
      <c r="Q10" s="255"/>
      <c r="R10" s="255"/>
      <c r="S10" s="255"/>
      <c r="T10" s="255"/>
      <c r="U10" s="255"/>
      <c r="V10" s="255"/>
      <c r="W10" s="255"/>
      <c r="X10" s="255"/>
      <c r="Y10" s="255"/>
    </row>
    <row r="11" spans="2:25" ht="30" customHeight="1" x14ac:dyDescent="0.3">
      <c r="B11" s="255"/>
      <c r="C11" s="255"/>
      <c r="D11" s="255"/>
      <c r="E11" s="255"/>
      <c r="F11" s="255"/>
      <c r="G11" s="255"/>
      <c r="H11" s="255"/>
      <c r="I11" s="255"/>
      <c r="J11" s="255"/>
      <c r="K11" s="255"/>
      <c r="L11" s="255"/>
      <c r="M11" s="255"/>
      <c r="N11" s="255"/>
      <c r="O11" s="255"/>
      <c r="P11" s="255"/>
      <c r="Q11" s="255"/>
      <c r="R11" s="255"/>
      <c r="S11" s="255"/>
      <c r="T11" s="255"/>
      <c r="U11" s="255"/>
      <c r="V11" s="255"/>
      <c r="W11" s="255"/>
      <c r="X11" s="255"/>
      <c r="Y11" s="255"/>
    </row>
    <row r="13" spans="2:25" ht="30" customHeight="1" x14ac:dyDescent="0.3">
      <c r="B13" s="382" t="s">
        <v>664</v>
      </c>
      <c r="C13" s="382"/>
      <c r="D13" s="382"/>
      <c r="E13" s="382"/>
      <c r="F13" s="382"/>
      <c r="G13" s="382"/>
      <c r="H13" s="382"/>
      <c r="I13" s="383" t="s">
        <v>665</v>
      </c>
      <c r="J13" s="383"/>
      <c r="K13" s="384" t="s">
        <v>300</v>
      </c>
      <c r="L13" s="384"/>
      <c r="M13" s="384"/>
      <c r="N13" s="384"/>
      <c r="O13" s="256" t="s">
        <v>666</v>
      </c>
      <c r="P13" s="256"/>
      <c r="Q13" s="384" t="s">
        <v>298</v>
      </c>
      <c r="R13" s="384"/>
      <c r="S13" s="384"/>
      <c r="T13" s="256" t="s">
        <v>667</v>
      </c>
      <c r="U13" s="256"/>
      <c r="V13" s="385" t="s">
        <v>668</v>
      </c>
      <c r="W13" s="385"/>
      <c r="X13" s="385"/>
      <c r="Y13" s="385"/>
    </row>
    <row r="14" spans="2:25" ht="30" customHeight="1" x14ac:dyDescent="0.3">
      <c r="B14" s="382"/>
      <c r="C14" s="382"/>
      <c r="D14" s="382"/>
      <c r="E14" s="382"/>
      <c r="F14" s="382"/>
      <c r="G14" s="382"/>
      <c r="H14" s="382"/>
      <c r="I14" s="386" t="s">
        <v>2</v>
      </c>
      <c r="J14" s="386"/>
      <c r="K14" s="387" t="s">
        <v>669</v>
      </c>
      <c r="L14" s="387"/>
      <c r="M14" s="387"/>
      <c r="N14" s="387"/>
      <c r="O14" s="388" t="s">
        <v>6</v>
      </c>
      <c r="P14" s="388"/>
      <c r="Q14" s="387">
        <v>44197</v>
      </c>
      <c r="R14" s="387"/>
      <c r="S14" s="387"/>
      <c r="T14" s="388" t="s">
        <v>670</v>
      </c>
      <c r="U14" s="388"/>
      <c r="V14" s="389">
        <v>1</v>
      </c>
      <c r="W14" s="389"/>
      <c r="X14" s="389"/>
      <c r="Y14" s="389"/>
    </row>
    <row r="15" spans="2:25" ht="30" customHeight="1" x14ac:dyDescent="0.3">
      <c r="B15" s="379" t="s">
        <v>671</v>
      </c>
      <c r="C15" s="379"/>
      <c r="D15" s="380" t="s">
        <v>672</v>
      </c>
      <c r="E15" s="380"/>
      <c r="F15" s="380"/>
      <c r="G15" s="380"/>
      <c r="H15" s="380"/>
      <c r="I15" s="381" t="s">
        <v>673</v>
      </c>
      <c r="J15" s="381"/>
      <c r="K15" s="245" t="s">
        <v>674</v>
      </c>
      <c r="L15" s="245"/>
      <c r="M15" s="245"/>
      <c r="N15" s="245"/>
      <c r="O15" s="245"/>
      <c r="P15" s="245"/>
      <c r="Q15" s="245"/>
      <c r="R15" s="245"/>
      <c r="S15" s="245"/>
      <c r="T15" s="381" t="s">
        <v>675</v>
      </c>
      <c r="U15" s="381"/>
      <c r="V15" s="246">
        <v>1</v>
      </c>
      <c r="W15" s="246"/>
      <c r="X15" s="246"/>
      <c r="Y15" s="246"/>
    </row>
    <row r="17" spans="2:25" ht="36" customHeight="1" x14ac:dyDescent="0.3">
      <c r="B17" s="35" t="s">
        <v>637</v>
      </c>
      <c r="C17" s="377" t="s">
        <v>676</v>
      </c>
      <c r="D17" s="377"/>
      <c r="E17" s="377"/>
      <c r="F17" s="377" t="s">
        <v>677</v>
      </c>
      <c r="G17" s="377"/>
      <c r="H17" s="377"/>
      <c r="I17" s="377" t="s">
        <v>678</v>
      </c>
      <c r="J17" s="377"/>
      <c r="K17" s="36" t="s">
        <v>679</v>
      </c>
      <c r="L17" s="36" t="s">
        <v>680</v>
      </c>
      <c r="M17" s="36" t="s">
        <v>681</v>
      </c>
      <c r="N17" s="377" t="s">
        <v>682</v>
      </c>
      <c r="O17" s="377"/>
      <c r="P17" s="377" t="s">
        <v>683</v>
      </c>
      <c r="Q17" s="377"/>
      <c r="R17" s="377" t="s">
        <v>684</v>
      </c>
      <c r="S17" s="377"/>
      <c r="T17" s="377"/>
      <c r="U17" s="377" t="s">
        <v>685</v>
      </c>
      <c r="V17" s="377"/>
      <c r="W17" s="378" t="s">
        <v>559</v>
      </c>
      <c r="X17" s="378"/>
      <c r="Y17" s="378"/>
    </row>
    <row r="18" spans="2:25" ht="30" customHeight="1" x14ac:dyDescent="0.3">
      <c r="B18" s="26">
        <v>1</v>
      </c>
      <c r="C18" s="367" t="s">
        <v>686</v>
      </c>
      <c r="D18" s="367"/>
      <c r="E18" s="367"/>
      <c r="F18" s="367" t="s">
        <v>687</v>
      </c>
      <c r="G18" s="367"/>
      <c r="H18" s="367"/>
      <c r="I18" s="367" t="s">
        <v>688</v>
      </c>
      <c r="J18" s="367"/>
      <c r="K18" s="27">
        <v>20</v>
      </c>
      <c r="L18" s="27" t="s">
        <v>649</v>
      </c>
      <c r="M18" s="27" t="s">
        <v>650</v>
      </c>
      <c r="N18" s="367" t="s">
        <v>689</v>
      </c>
      <c r="O18" s="367"/>
      <c r="P18" s="367"/>
      <c r="Q18" s="367"/>
      <c r="R18" s="367"/>
      <c r="S18" s="367"/>
      <c r="T18" s="367"/>
      <c r="U18" s="367"/>
      <c r="V18" s="367"/>
      <c r="W18" s="376"/>
      <c r="X18" s="376"/>
      <c r="Y18" s="376"/>
    </row>
    <row r="19" spans="2:25" ht="30" customHeight="1" x14ac:dyDescent="0.3">
      <c r="B19" s="4">
        <v>2</v>
      </c>
      <c r="C19" s="248" t="s">
        <v>690</v>
      </c>
      <c r="D19" s="248"/>
      <c r="E19" s="248"/>
      <c r="F19" s="248" t="s">
        <v>691</v>
      </c>
      <c r="G19" s="248"/>
      <c r="H19" s="248"/>
      <c r="I19" s="248" t="s">
        <v>688</v>
      </c>
      <c r="J19" s="248"/>
      <c r="K19" s="5">
        <v>20</v>
      </c>
      <c r="L19" s="5" t="s">
        <v>650</v>
      </c>
      <c r="M19" s="5" t="s">
        <v>650</v>
      </c>
      <c r="N19" s="248" t="s">
        <v>689</v>
      </c>
      <c r="O19" s="248"/>
      <c r="P19" s="248"/>
      <c r="Q19" s="248"/>
      <c r="R19" s="248"/>
      <c r="S19" s="248"/>
      <c r="T19" s="248"/>
      <c r="U19" s="248"/>
      <c r="V19" s="248"/>
      <c r="W19" s="249"/>
      <c r="X19" s="249"/>
      <c r="Y19" s="249"/>
    </row>
    <row r="20" spans="2:25" ht="30" customHeight="1" x14ac:dyDescent="0.3">
      <c r="B20" s="4">
        <v>3</v>
      </c>
      <c r="C20" s="248" t="s">
        <v>692</v>
      </c>
      <c r="D20" s="248"/>
      <c r="E20" s="248"/>
      <c r="F20" s="248" t="s">
        <v>693</v>
      </c>
      <c r="G20" s="248"/>
      <c r="H20" s="248"/>
      <c r="I20" s="248" t="s">
        <v>688</v>
      </c>
      <c r="J20" s="248"/>
      <c r="K20" s="5">
        <v>20</v>
      </c>
      <c r="L20" s="5" t="s">
        <v>650</v>
      </c>
      <c r="M20" s="5" t="s">
        <v>650</v>
      </c>
      <c r="N20" s="248" t="s">
        <v>689</v>
      </c>
      <c r="O20" s="248"/>
      <c r="P20" s="248"/>
      <c r="Q20" s="248"/>
      <c r="R20" s="248"/>
      <c r="S20" s="248"/>
      <c r="T20" s="248"/>
      <c r="U20" s="248"/>
      <c r="V20" s="248"/>
      <c r="W20" s="249"/>
      <c r="X20" s="249"/>
      <c r="Y20" s="249"/>
    </row>
    <row r="21" spans="2:25" ht="30" customHeight="1" x14ac:dyDescent="0.3">
      <c r="B21" s="4">
        <v>4</v>
      </c>
      <c r="C21" s="248" t="s">
        <v>694</v>
      </c>
      <c r="D21" s="248"/>
      <c r="E21" s="248"/>
      <c r="F21" s="248" t="s">
        <v>695</v>
      </c>
      <c r="G21" s="248"/>
      <c r="H21" s="248"/>
      <c r="I21" s="248" t="s">
        <v>696</v>
      </c>
      <c r="J21" s="248"/>
      <c r="K21" s="5"/>
      <c r="L21" s="5" t="s">
        <v>650</v>
      </c>
      <c r="M21" s="5" t="s">
        <v>650</v>
      </c>
      <c r="N21" s="248" t="s">
        <v>689</v>
      </c>
      <c r="O21" s="248"/>
      <c r="P21" s="248"/>
      <c r="Q21" s="248"/>
      <c r="R21" s="248"/>
      <c r="S21" s="248"/>
      <c r="T21" s="248"/>
      <c r="U21" s="248"/>
      <c r="V21" s="248"/>
      <c r="W21" s="249"/>
      <c r="X21" s="249"/>
      <c r="Y21" s="249"/>
    </row>
    <row r="22" spans="2:25" ht="30" customHeight="1" x14ac:dyDescent="0.3">
      <c r="B22" s="4">
        <v>5</v>
      </c>
      <c r="C22" s="248" t="s">
        <v>697</v>
      </c>
      <c r="D22" s="248"/>
      <c r="E22" s="248"/>
      <c r="F22" s="248" t="s">
        <v>698</v>
      </c>
      <c r="G22" s="248"/>
      <c r="H22" s="248"/>
      <c r="I22" s="248" t="s">
        <v>688</v>
      </c>
      <c r="J22" s="248"/>
      <c r="K22" s="5">
        <v>20</v>
      </c>
      <c r="L22" s="5" t="s">
        <v>650</v>
      </c>
      <c r="M22" s="5" t="s">
        <v>650</v>
      </c>
      <c r="N22" s="248" t="s">
        <v>689</v>
      </c>
      <c r="O22" s="248"/>
      <c r="P22" s="248"/>
      <c r="Q22" s="248"/>
      <c r="R22" s="248"/>
      <c r="S22" s="248"/>
      <c r="T22" s="248"/>
      <c r="U22" s="248"/>
      <c r="V22" s="248"/>
      <c r="W22" s="249"/>
      <c r="X22" s="249"/>
      <c r="Y22" s="249"/>
    </row>
    <row r="23" spans="2:25" ht="30" customHeight="1" x14ac:dyDescent="0.3">
      <c r="B23" s="4">
        <v>6</v>
      </c>
      <c r="C23" s="248" t="s">
        <v>699</v>
      </c>
      <c r="D23" s="248"/>
      <c r="E23" s="248"/>
      <c r="F23" s="248" t="s">
        <v>700</v>
      </c>
      <c r="G23" s="248"/>
      <c r="H23" s="248"/>
      <c r="I23" s="248" t="s">
        <v>701</v>
      </c>
      <c r="J23" s="248"/>
      <c r="K23" s="5">
        <v>3</v>
      </c>
      <c r="L23" s="5" t="s">
        <v>650</v>
      </c>
      <c r="M23" s="5" t="s">
        <v>650</v>
      </c>
      <c r="N23" s="248" t="s">
        <v>689</v>
      </c>
      <c r="O23" s="248"/>
      <c r="P23" s="248"/>
      <c r="Q23" s="248"/>
      <c r="R23" s="248"/>
      <c r="S23" s="248"/>
      <c r="T23" s="248"/>
      <c r="U23" s="248"/>
      <c r="V23" s="248"/>
      <c r="W23" s="249"/>
      <c r="X23" s="249"/>
      <c r="Y23" s="249"/>
    </row>
    <row r="24" spans="2:25" ht="30" customHeight="1" x14ac:dyDescent="0.3">
      <c r="B24" s="28">
        <v>7</v>
      </c>
      <c r="C24" s="245" t="s">
        <v>702</v>
      </c>
      <c r="D24" s="245"/>
      <c r="E24" s="245"/>
      <c r="F24" s="245" t="s">
        <v>703</v>
      </c>
      <c r="G24" s="245"/>
      <c r="H24" s="245"/>
      <c r="I24" s="245" t="s">
        <v>688</v>
      </c>
      <c r="J24" s="245"/>
      <c r="K24" s="8">
        <v>100</v>
      </c>
      <c r="L24" s="8" t="s">
        <v>650</v>
      </c>
      <c r="M24" s="8" t="s">
        <v>650</v>
      </c>
      <c r="N24" s="245" t="s">
        <v>689</v>
      </c>
      <c r="O24" s="245"/>
      <c r="P24" s="245"/>
      <c r="Q24" s="245"/>
      <c r="R24" s="245"/>
      <c r="S24" s="245"/>
      <c r="T24" s="245"/>
      <c r="U24" s="245"/>
      <c r="V24" s="245"/>
      <c r="W24" s="246"/>
      <c r="X24" s="246"/>
      <c r="Y24" s="246"/>
    </row>
    <row r="25" spans="2:25" ht="30" customHeight="1" x14ac:dyDescent="0.3"/>
    <row r="26" spans="2:25" ht="30" customHeight="1" x14ac:dyDescent="0.3"/>
    <row r="27" spans="2:25" ht="30" customHeight="1" x14ac:dyDescent="0.3"/>
    <row r="28" spans="2:25" ht="30" customHeight="1" x14ac:dyDescent="0.3"/>
    <row r="29" spans="2:25" ht="30" customHeight="1" x14ac:dyDescent="0.3"/>
    <row r="30" spans="2:25" ht="30" customHeight="1" x14ac:dyDescent="0.3"/>
    <row r="31" spans="2:25" ht="30" customHeight="1" x14ac:dyDescent="0.3"/>
    <row r="32" spans="2:25" ht="30" customHeight="1" x14ac:dyDescent="0.3"/>
    <row r="33" ht="30" customHeight="1" x14ac:dyDescent="0.3"/>
    <row r="34" ht="30" customHeight="1" x14ac:dyDescent="0.3"/>
    <row r="35" ht="30" customHeight="1" x14ac:dyDescent="0.3"/>
    <row r="36" ht="30" customHeight="1" x14ac:dyDescent="0.3"/>
    <row r="37" ht="30" customHeight="1" x14ac:dyDescent="0.3"/>
    <row r="38" ht="30" customHeight="1" x14ac:dyDescent="0.3"/>
    <row r="39" ht="30" customHeight="1" x14ac:dyDescent="0.3"/>
    <row r="40" ht="30" customHeight="1" x14ac:dyDescent="0.3"/>
    <row r="41" ht="30" customHeight="1" x14ac:dyDescent="0.3"/>
    <row r="42" ht="30" customHeight="1" x14ac:dyDescent="0.3"/>
    <row r="43" ht="24.95" customHeight="1" x14ac:dyDescent="0.3"/>
    <row r="44" ht="24.95" customHeight="1" x14ac:dyDescent="0.3"/>
    <row r="45" ht="24.95" customHeight="1" x14ac:dyDescent="0.3"/>
    <row r="46" ht="24.95" customHeight="1" x14ac:dyDescent="0.3"/>
    <row r="47" ht="24.95" customHeight="1" x14ac:dyDescent="0.3"/>
  </sheetData>
  <mergeCells count="94">
    <mergeCell ref="B2:D2"/>
    <mergeCell ref="E2:Q2"/>
    <mergeCell ref="R2:T2"/>
    <mergeCell ref="U2:Y2"/>
    <mergeCell ref="B3:D3"/>
    <mergeCell ref="E3:Q3"/>
    <mergeCell ref="R3:T3"/>
    <mergeCell ref="U3:Y3"/>
    <mergeCell ref="B4:Y4"/>
    <mergeCell ref="B5:Y8"/>
    <mergeCell ref="B10:Y11"/>
    <mergeCell ref="B13:H14"/>
    <mergeCell ref="I13:J13"/>
    <mergeCell ref="K13:N13"/>
    <mergeCell ref="O13:P13"/>
    <mergeCell ref="Q13:S13"/>
    <mergeCell ref="T13:U13"/>
    <mergeCell ref="V13:Y13"/>
    <mergeCell ref="I14:J14"/>
    <mergeCell ref="K14:N14"/>
    <mergeCell ref="O14:P14"/>
    <mergeCell ref="Q14:S14"/>
    <mergeCell ref="T14:U14"/>
    <mergeCell ref="V14:Y14"/>
    <mergeCell ref="V15:Y15"/>
    <mergeCell ref="C17:E17"/>
    <mergeCell ref="F17:H17"/>
    <mergeCell ref="I17:J17"/>
    <mergeCell ref="N17:O17"/>
    <mergeCell ref="P17:Q17"/>
    <mergeCell ref="R17:T17"/>
    <mergeCell ref="U17:V17"/>
    <mergeCell ref="W17:Y17"/>
    <mergeCell ref="B15:C15"/>
    <mergeCell ref="D15:H15"/>
    <mergeCell ref="I15:J15"/>
    <mergeCell ref="K15:S15"/>
    <mergeCell ref="T15:U15"/>
    <mergeCell ref="R18:T18"/>
    <mergeCell ref="U18:V18"/>
    <mergeCell ref="W18:Y18"/>
    <mergeCell ref="C19:E19"/>
    <mergeCell ref="F19:H19"/>
    <mergeCell ref="I19:J19"/>
    <mergeCell ref="N19:O19"/>
    <mergeCell ref="P19:Q19"/>
    <mergeCell ref="R19:T19"/>
    <mergeCell ref="U19:V19"/>
    <mergeCell ref="W19:Y19"/>
    <mergeCell ref="C18:E18"/>
    <mergeCell ref="F18:H18"/>
    <mergeCell ref="I18:J18"/>
    <mergeCell ref="N18:O18"/>
    <mergeCell ref="P18:Q18"/>
    <mergeCell ref="R20:T20"/>
    <mergeCell ref="U20:V20"/>
    <mergeCell ref="W20:Y20"/>
    <mergeCell ref="C21:E21"/>
    <mergeCell ref="F21:H21"/>
    <mergeCell ref="I21:J21"/>
    <mergeCell ref="N21:O21"/>
    <mergeCell ref="P21:Q21"/>
    <mergeCell ref="R21:T21"/>
    <mergeCell ref="U21:V21"/>
    <mergeCell ref="W21:Y21"/>
    <mergeCell ref="C20:E20"/>
    <mergeCell ref="F20:H20"/>
    <mergeCell ref="I20:J20"/>
    <mergeCell ref="N20:O20"/>
    <mergeCell ref="P20:Q20"/>
    <mergeCell ref="R22:T22"/>
    <mergeCell ref="U22:V22"/>
    <mergeCell ref="W22:Y22"/>
    <mergeCell ref="C23:E23"/>
    <mergeCell ref="F23:H23"/>
    <mergeCell ref="I23:J23"/>
    <mergeCell ref="N23:O23"/>
    <mergeCell ref="P23:Q23"/>
    <mergeCell ref="R23:T23"/>
    <mergeCell ref="U23:V23"/>
    <mergeCell ref="W23:Y23"/>
    <mergeCell ref="C22:E22"/>
    <mergeCell ref="F22:H22"/>
    <mergeCell ref="I22:J22"/>
    <mergeCell ref="N22:O22"/>
    <mergeCell ref="P22:Q22"/>
    <mergeCell ref="R24:T24"/>
    <mergeCell ref="U24:V24"/>
    <mergeCell ref="W24:Y24"/>
    <mergeCell ref="C24:E24"/>
    <mergeCell ref="F24:H24"/>
    <mergeCell ref="I24:J24"/>
    <mergeCell ref="N24:O24"/>
    <mergeCell ref="P24:Q24"/>
  </mergeCells>
  <phoneticPr fontId="45" type="noConversion"/>
  <pageMargins left="0.7" right="0.7" top="0.75" bottom="0.75" header="0.51180555555555496" footer="0.51180555555555496"/>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99"/>
  <sheetViews>
    <sheetView zoomScale="85" zoomScaleNormal="85" workbookViewId="0">
      <selection activeCell="B4" sqref="B4"/>
    </sheetView>
  </sheetViews>
  <sheetFormatPr defaultRowHeight="16.5" x14ac:dyDescent="0.3"/>
  <cols>
    <col min="1" max="1" width="3.125" customWidth="1"/>
    <col min="2" max="1025" width="8.875" customWidth="1"/>
  </cols>
  <sheetData>
    <row r="2" spans="2:20" ht="24.95" customHeight="1" x14ac:dyDescent="0.3">
      <c r="B2" s="391" t="s">
        <v>0</v>
      </c>
      <c r="C2" s="391"/>
      <c r="D2" s="391"/>
      <c r="E2" s="392" t="s">
        <v>1</v>
      </c>
      <c r="F2" s="392"/>
      <c r="G2" s="392"/>
      <c r="H2" s="392"/>
      <c r="I2" s="392"/>
      <c r="J2" s="392"/>
      <c r="K2" s="392"/>
      <c r="L2" s="392"/>
      <c r="M2" s="393" t="s">
        <v>2</v>
      </c>
      <c r="N2" s="393"/>
      <c r="O2" s="393"/>
      <c r="P2" s="394" t="str">
        <f>'00_팀프로젝트_큰틀'!P2</f>
        <v>홍길순</v>
      </c>
      <c r="Q2" s="394"/>
      <c r="R2" s="394"/>
      <c r="S2" s="394"/>
      <c r="T2" s="394"/>
    </row>
    <row r="3" spans="2:20" ht="24.95" customHeight="1" x14ac:dyDescent="0.3">
      <c r="B3" s="240" t="s">
        <v>4</v>
      </c>
      <c r="C3" s="240"/>
      <c r="D3" s="240"/>
      <c r="E3" s="241" t="s">
        <v>5</v>
      </c>
      <c r="F3" s="241"/>
      <c r="G3" s="241"/>
      <c r="H3" s="241"/>
      <c r="I3" s="241"/>
      <c r="J3" s="241"/>
      <c r="K3" s="241"/>
      <c r="L3" s="241"/>
      <c r="M3" s="242" t="s">
        <v>6</v>
      </c>
      <c r="N3" s="242"/>
      <c r="O3" s="242"/>
      <c r="P3" s="375">
        <v>44806</v>
      </c>
      <c r="Q3" s="375"/>
      <c r="R3" s="375"/>
      <c r="S3" s="375"/>
      <c r="T3" s="375"/>
    </row>
    <row r="4" spans="2:20" ht="24.95" customHeight="1" x14ac:dyDescent="0.3">
      <c r="B4" s="361" t="s">
        <v>61</v>
      </c>
      <c r="C4" s="361"/>
      <c r="D4" s="361"/>
      <c r="E4" s="361"/>
      <c r="F4" s="361"/>
      <c r="G4" s="361"/>
      <c r="H4" s="361"/>
      <c r="I4" s="361"/>
      <c r="J4" s="361"/>
      <c r="K4" s="361"/>
      <c r="L4" s="361"/>
      <c r="M4" s="361"/>
      <c r="N4" s="361"/>
      <c r="O4" s="361"/>
      <c r="P4" s="361"/>
      <c r="Q4" s="361"/>
      <c r="R4" s="361"/>
      <c r="S4" s="361"/>
      <c r="T4" s="361"/>
    </row>
    <row r="5" spans="2:20" ht="24.95" customHeight="1" x14ac:dyDescent="0.3">
      <c r="B5" s="390" t="s">
        <v>704</v>
      </c>
      <c r="C5" s="390"/>
      <c r="D5" s="390"/>
      <c r="E5" s="390"/>
      <c r="F5" s="390"/>
      <c r="G5" s="390"/>
      <c r="H5" s="390"/>
      <c r="I5" s="390"/>
      <c r="J5" s="390"/>
      <c r="K5" s="390"/>
      <c r="L5" s="390"/>
      <c r="M5" s="390"/>
      <c r="N5" s="390"/>
      <c r="O5" s="390"/>
      <c r="P5" s="390"/>
      <c r="Q5" s="390"/>
      <c r="R5" s="390"/>
      <c r="S5" s="390"/>
      <c r="T5" s="390"/>
    </row>
    <row r="6" spans="2:20" ht="24.95" customHeight="1" x14ac:dyDescent="0.3">
      <c r="B6" s="390"/>
      <c r="C6" s="390"/>
      <c r="D6" s="390"/>
      <c r="E6" s="390"/>
      <c r="F6" s="390"/>
      <c r="G6" s="390"/>
      <c r="H6" s="390"/>
      <c r="I6" s="390"/>
      <c r="J6" s="390"/>
      <c r="K6" s="390"/>
      <c r="L6" s="390"/>
      <c r="M6" s="390"/>
      <c r="N6" s="390"/>
      <c r="O6" s="390"/>
      <c r="P6" s="390"/>
      <c r="Q6" s="390"/>
      <c r="R6" s="390"/>
      <c r="S6" s="390"/>
      <c r="T6" s="390"/>
    </row>
    <row r="7" spans="2:20" ht="24.95" customHeight="1" x14ac:dyDescent="0.3">
      <c r="B7" s="390"/>
      <c r="C7" s="390"/>
      <c r="D7" s="390"/>
      <c r="E7" s="390"/>
      <c r="F7" s="390"/>
      <c r="G7" s="390"/>
      <c r="H7" s="390"/>
      <c r="I7" s="390"/>
      <c r="J7" s="390"/>
      <c r="K7" s="390"/>
      <c r="L7" s="390"/>
      <c r="M7" s="390"/>
      <c r="N7" s="390"/>
      <c r="O7" s="390"/>
      <c r="P7" s="390"/>
      <c r="Q7" s="390"/>
      <c r="R7" s="390"/>
      <c r="S7" s="390"/>
      <c r="T7" s="390"/>
    </row>
    <row r="8" spans="2:20" ht="24.95" customHeight="1" x14ac:dyDescent="0.3">
      <c r="B8" s="390"/>
      <c r="C8" s="390"/>
      <c r="D8" s="390"/>
      <c r="E8" s="390"/>
      <c r="F8" s="390"/>
      <c r="G8" s="390"/>
      <c r="H8" s="390"/>
      <c r="I8" s="390"/>
      <c r="J8" s="390"/>
      <c r="K8" s="390"/>
      <c r="L8" s="390"/>
      <c r="M8" s="390"/>
      <c r="N8" s="390"/>
      <c r="O8" s="390"/>
      <c r="P8" s="390"/>
      <c r="Q8" s="390"/>
      <c r="R8" s="390"/>
      <c r="S8" s="390"/>
      <c r="T8" s="390"/>
    </row>
    <row r="9" spans="2:20" ht="24.95" customHeight="1" x14ac:dyDescent="0.3">
      <c r="B9" s="390"/>
      <c r="C9" s="390"/>
      <c r="D9" s="390"/>
      <c r="E9" s="390"/>
      <c r="F9" s="390"/>
      <c r="G9" s="390"/>
      <c r="H9" s="390"/>
      <c r="I9" s="390"/>
      <c r="J9" s="390"/>
      <c r="K9" s="390"/>
      <c r="L9" s="390"/>
      <c r="M9" s="390"/>
      <c r="N9" s="390"/>
      <c r="O9" s="390"/>
      <c r="P9" s="390"/>
      <c r="Q9" s="390"/>
      <c r="R9" s="390"/>
      <c r="S9" s="390"/>
      <c r="T9" s="390"/>
    </row>
    <row r="11" spans="2:20" ht="20.100000000000001" customHeight="1" x14ac:dyDescent="0.3">
      <c r="B11" s="300" t="s">
        <v>705</v>
      </c>
      <c r="C11" s="300"/>
      <c r="D11" s="300"/>
      <c r="E11" s="300"/>
      <c r="F11" s="300"/>
      <c r="G11" s="300"/>
      <c r="H11" s="300"/>
      <c r="I11" s="300"/>
      <c r="J11" s="300"/>
      <c r="K11" s="300"/>
      <c r="L11" s="300"/>
      <c r="M11" s="300"/>
      <c r="N11" s="300"/>
      <c r="O11" s="300"/>
      <c r="P11" s="300"/>
      <c r="Q11" s="300"/>
      <c r="R11" s="300"/>
      <c r="S11" s="300"/>
      <c r="T11" s="300"/>
    </row>
    <row r="12" spans="2:20" ht="20.100000000000001" customHeight="1" x14ac:dyDescent="0.3">
      <c r="B12" s="300"/>
      <c r="C12" s="300"/>
      <c r="D12" s="300"/>
      <c r="E12" s="300"/>
      <c r="F12" s="300"/>
      <c r="G12" s="300"/>
      <c r="H12" s="300"/>
      <c r="I12" s="300"/>
      <c r="J12" s="300"/>
      <c r="K12" s="300"/>
      <c r="L12" s="300"/>
      <c r="M12" s="300"/>
      <c r="N12" s="300"/>
      <c r="O12" s="300"/>
      <c r="P12" s="300"/>
      <c r="Q12" s="300"/>
      <c r="R12" s="300"/>
      <c r="S12" s="300"/>
      <c r="T12" s="300"/>
    </row>
    <row r="13" spans="2:20" ht="20.100000000000001" customHeight="1" x14ac:dyDescent="0.3">
      <c r="B13" s="300"/>
      <c r="C13" s="300"/>
      <c r="D13" s="300"/>
      <c r="E13" s="300"/>
      <c r="F13" s="300"/>
      <c r="G13" s="300"/>
      <c r="H13" s="300"/>
      <c r="I13" s="300"/>
      <c r="J13" s="300"/>
      <c r="K13" s="300"/>
      <c r="L13" s="300"/>
      <c r="M13" s="300"/>
      <c r="N13" s="300"/>
      <c r="O13" s="300"/>
      <c r="P13" s="300"/>
      <c r="Q13" s="300"/>
      <c r="R13" s="300"/>
      <c r="S13" s="300"/>
      <c r="T13" s="300"/>
    </row>
    <row r="15" spans="2:20" ht="32.25" customHeight="1" x14ac:dyDescent="0.3">
      <c r="B15" s="298" t="s">
        <v>706</v>
      </c>
      <c r="C15" s="298"/>
      <c r="D15" s="298"/>
      <c r="E15" s="298"/>
      <c r="F15" s="298"/>
      <c r="G15" s="298"/>
      <c r="H15" s="298"/>
      <c r="I15" s="298"/>
      <c r="J15" s="298"/>
      <c r="K15" s="298"/>
      <c r="L15" s="298"/>
      <c r="M15" s="298"/>
      <c r="N15" s="298"/>
      <c r="O15" s="298"/>
      <c r="P15" s="298"/>
      <c r="Q15" s="298"/>
      <c r="R15" s="298"/>
      <c r="S15" s="298"/>
      <c r="T15" s="298"/>
    </row>
    <row r="16" spans="2:20" x14ac:dyDescent="0.3">
      <c r="B16" s="299"/>
      <c r="C16" s="299"/>
      <c r="D16" s="299"/>
      <c r="E16" s="299"/>
      <c r="F16" s="299"/>
      <c r="G16" s="299"/>
      <c r="H16" s="299"/>
      <c r="I16" s="299"/>
      <c r="J16" s="299"/>
      <c r="K16" s="299"/>
      <c r="L16" s="299"/>
      <c r="M16" s="299"/>
      <c r="N16" s="299"/>
      <c r="O16" s="299"/>
      <c r="P16" s="299"/>
      <c r="Q16" s="299"/>
      <c r="R16" s="299"/>
      <c r="S16" s="299"/>
      <c r="T16" s="299"/>
    </row>
    <row r="17" spans="2:20" x14ac:dyDescent="0.3">
      <c r="B17" s="299"/>
      <c r="C17" s="299"/>
      <c r="D17" s="299"/>
      <c r="E17" s="299"/>
      <c r="F17" s="299"/>
      <c r="G17" s="299"/>
      <c r="H17" s="299"/>
      <c r="I17" s="299"/>
      <c r="J17" s="299"/>
      <c r="K17" s="299"/>
      <c r="L17" s="299"/>
      <c r="M17" s="299"/>
      <c r="N17" s="299"/>
      <c r="O17" s="299"/>
      <c r="P17" s="299"/>
      <c r="Q17" s="299"/>
      <c r="R17" s="299"/>
      <c r="S17" s="299"/>
      <c r="T17" s="299"/>
    </row>
    <row r="18" spans="2:20" x14ac:dyDescent="0.3">
      <c r="B18" s="299"/>
      <c r="C18" s="299"/>
      <c r="D18" s="299"/>
      <c r="E18" s="299"/>
      <c r="F18" s="299"/>
      <c r="G18" s="299"/>
      <c r="H18" s="299"/>
      <c r="I18" s="299"/>
      <c r="J18" s="299"/>
      <c r="K18" s="299"/>
      <c r="L18" s="299"/>
      <c r="M18" s="299"/>
      <c r="N18" s="299"/>
      <c r="O18" s="299"/>
      <c r="P18" s="299"/>
      <c r="Q18" s="299"/>
      <c r="R18" s="299"/>
      <c r="S18" s="299"/>
      <c r="T18" s="299"/>
    </row>
    <row r="19" spans="2:20" x14ac:dyDescent="0.3">
      <c r="B19" s="299"/>
      <c r="C19" s="299"/>
      <c r="D19" s="299"/>
      <c r="E19" s="299"/>
      <c r="F19" s="299"/>
      <c r="G19" s="299"/>
      <c r="H19" s="299"/>
      <c r="I19" s="299"/>
      <c r="J19" s="299"/>
      <c r="K19" s="299"/>
      <c r="L19" s="299"/>
      <c r="M19" s="299"/>
      <c r="N19" s="299"/>
      <c r="O19" s="299"/>
      <c r="P19" s="299"/>
      <c r="Q19" s="299"/>
      <c r="R19" s="299"/>
      <c r="S19" s="299"/>
      <c r="T19" s="299"/>
    </row>
    <row r="20" spans="2:20" x14ac:dyDescent="0.3">
      <c r="B20" s="299"/>
      <c r="C20" s="299"/>
      <c r="D20" s="299"/>
      <c r="E20" s="299"/>
      <c r="F20" s="299"/>
      <c r="G20" s="299"/>
      <c r="H20" s="299"/>
      <c r="I20" s="299"/>
      <c r="J20" s="299"/>
      <c r="K20" s="299"/>
      <c r="L20" s="299"/>
      <c r="M20" s="299"/>
      <c r="N20" s="299"/>
      <c r="O20" s="299"/>
      <c r="P20" s="299"/>
      <c r="Q20" s="299"/>
      <c r="R20" s="299"/>
      <c r="S20" s="299"/>
      <c r="T20" s="299"/>
    </row>
    <row r="21" spans="2:20" x14ac:dyDescent="0.3">
      <c r="B21" s="299"/>
      <c r="C21" s="299"/>
      <c r="D21" s="299"/>
      <c r="E21" s="299"/>
      <c r="F21" s="299"/>
      <c r="G21" s="299"/>
      <c r="H21" s="299"/>
      <c r="I21" s="299"/>
      <c r="J21" s="299"/>
      <c r="K21" s="299"/>
      <c r="L21" s="299"/>
      <c r="M21" s="299"/>
      <c r="N21" s="299"/>
      <c r="O21" s="299"/>
      <c r="P21" s="299"/>
      <c r="Q21" s="299"/>
      <c r="R21" s="299"/>
      <c r="S21" s="299"/>
      <c r="T21" s="299"/>
    </row>
    <row r="22" spans="2:20" x14ac:dyDescent="0.3">
      <c r="B22" s="299"/>
      <c r="C22" s="299"/>
      <c r="D22" s="299"/>
      <c r="E22" s="299"/>
      <c r="F22" s="299"/>
      <c r="G22" s="299"/>
      <c r="H22" s="299"/>
      <c r="I22" s="299"/>
      <c r="J22" s="299"/>
      <c r="K22" s="299"/>
      <c r="L22" s="299"/>
      <c r="M22" s="299"/>
      <c r="N22" s="299"/>
      <c r="O22" s="299"/>
      <c r="P22" s="299"/>
      <c r="Q22" s="299"/>
      <c r="R22" s="299"/>
      <c r="S22" s="299"/>
      <c r="T22" s="299"/>
    </row>
    <row r="23" spans="2:20" x14ac:dyDescent="0.3">
      <c r="B23" s="299"/>
      <c r="C23" s="299"/>
      <c r="D23" s="299"/>
      <c r="E23" s="299"/>
      <c r="F23" s="299"/>
      <c r="G23" s="299"/>
      <c r="H23" s="299"/>
      <c r="I23" s="299"/>
      <c r="J23" s="299"/>
      <c r="K23" s="299"/>
      <c r="L23" s="299"/>
      <c r="M23" s="299"/>
      <c r="N23" s="299"/>
      <c r="O23" s="299"/>
      <c r="P23" s="299"/>
      <c r="Q23" s="299"/>
      <c r="R23" s="299"/>
      <c r="S23" s="299"/>
      <c r="T23" s="299"/>
    </row>
    <row r="24" spans="2:20" x14ac:dyDescent="0.3">
      <c r="B24" s="299"/>
      <c r="C24" s="299"/>
      <c r="D24" s="299"/>
      <c r="E24" s="299"/>
      <c r="F24" s="299"/>
      <c r="G24" s="299"/>
      <c r="H24" s="299"/>
      <c r="I24" s="299"/>
      <c r="J24" s="299"/>
      <c r="K24" s="299"/>
      <c r="L24" s="299"/>
      <c r="M24" s="299"/>
      <c r="N24" s="299"/>
      <c r="O24" s="299"/>
      <c r="P24" s="299"/>
      <c r="Q24" s="299"/>
      <c r="R24" s="299"/>
      <c r="S24" s="299"/>
      <c r="T24" s="299"/>
    </row>
    <row r="25" spans="2:20" x14ac:dyDescent="0.3">
      <c r="B25" s="299"/>
      <c r="C25" s="299"/>
      <c r="D25" s="299"/>
      <c r="E25" s="299"/>
      <c r="F25" s="299"/>
      <c r="G25" s="299"/>
      <c r="H25" s="299"/>
      <c r="I25" s="299"/>
      <c r="J25" s="299"/>
      <c r="K25" s="299"/>
      <c r="L25" s="299"/>
      <c r="M25" s="299"/>
      <c r="N25" s="299"/>
      <c r="O25" s="299"/>
      <c r="P25" s="299"/>
      <c r="Q25" s="299"/>
      <c r="R25" s="299"/>
      <c r="S25" s="299"/>
      <c r="T25" s="299"/>
    </row>
    <row r="26" spans="2:20" x14ac:dyDescent="0.3">
      <c r="B26" s="299"/>
      <c r="C26" s="299"/>
      <c r="D26" s="299"/>
      <c r="E26" s="299"/>
      <c r="F26" s="299"/>
      <c r="G26" s="299"/>
      <c r="H26" s="299"/>
      <c r="I26" s="299"/>
      <c r="J26" s="299"/>
      <c r="K26" s="299"/>
      <c r="L26" s="299"/>
      <c r="M26" s="299"/>
      <c r="N26" s="299"/>
      <c r="O26" s="299"/>
      <c r="P26" s="299"/>
      <c r="Q26" s="299"/>
      <c r="R26" s="299"/>
      <c r="S26" s="299"/>
      <c r="T26" s="299"/>
    </row>
    <row r="27" spans="2:20" x14ac:dyDescent="0.3">
      <c r="B27" s="299"/>
      <c r="C27" s="299"/>
      <c r="D27" s="299"/>
      <c r="E27" s="299"/>
      <c r="F27" s="299"/>
      <c r="G27" s="299"/>
      <c r="H27" s="299"/>
      <c r="I27" s="299"/>
      <c r="J27" s="299"/>
      <c r="K27" s="299"/>
      <c r="L27" s="299"/>
      <c r="M27" s="299"/>
      <c r="N27" s="299"/>
      <c r="O27" s="299"/>
      <c r="P27" s="299"/>
      <c r="Q27" s="299"/>
      <c r="R27" s="299"/>
      <c r="S27" s="299"/>
      <c r="T27" s="299"/>
    </row>
    <row r="28" spans="2:20" x14ac:dyDescent="0.3">
      <c r="B28" s="299"/>
      <c r="C28" s="299"/>
      <c r="D28" s="299"/>
      <c r="E28" s="299"/>
      <c r="F28" s="299"/>
      <c r="G28" s="299"/>
      <c r="H28" s="299"/>
      <c r="I28" s="299"/>
      <c r="J28" s="299"/>
      <c r="K28" s="299"/>
      <c r="L28" s="299"/>
      <c r="M28" s="299"/>
      <c r="N28" s="299"/>
      <c r="O28" s="299"/>
      <c r="P28" s="299"/>
      <c r="Q28" s="299"/>
      <c r="R28" s="299"/>
      <c r="S28" s="299"/>
      <c r="T28" s="299"/>
    </row>
    <row r="29" spans="2:20" x14ac:dyDescent="0.3">
      <c r="B29" s="299"/>
      <c r="C29" s="299"/>
      <c r="D29" s="299"/>
      <c r="E29" s="299"/>
      <c r="F29" s="299"/>
      <c r="G29" s="299"/>
      <c r="H29" s="299"/>
      <c r="I29" s="299"/>
      <c r="J29" s="299"/>
      <c r="K29" s="299"/>
      <c r="L29" s="299"/>
      <c r="M29" s="299"/>
      <c r="N29" s="299"/>
      <c r="O29" s="299"/>
      <c r="P29" s="299"/>
      <c r="Q29" s="299"/>
      <c r="R29" s="299"/>
      <c r="S29" s="299"/>
      <c r="T29" s="299"/>
    </row>
    <row r="30" spans="2:20" x14ac:dyDescent="0.3">
      <c r="B30" s="299"/>
      <c r="C30" s="299"/>
      <c r="D30" s="299"/>
      <c r="E30" s="299"/>
      <c r="F30" s="299"/>
      <c r="G30" s="299"/>
      <c r="H30" s="299"/>
      <c r="I30" s="299"/>
      <c r="J30" s="299"/>
      <c r="K30" s="299"/>
      <c r="L30" s="299"/>
      <c r="M30" s="299"/>
      <c r="N30" s="299"/>
      <c r="O30" s="299"/>
      <c r="P30" s="299"/>
      <c r="Q30" s="299"/>
      <c r="R30" s="299"/>
      <c r="S30" s="299"/>
      <c r="T30" s="299"/>
    </row>
    <row r="31" spans="2:20" x14ac:dyDescent="0.3">
      <c r="B31" s="299"/>
      <c r="C31" s="299"/>
      <c r="D31" s="299"/>
      <c r="E31" s="299"/>
      <c r="F31" s="299"/>
      <c r="G31" s="299"/>
      <c r="H31" s="299"/>
      <c r="I31" s="299"/>
      <c r="J31" s="299"/>
      <c r="K31" s="299"/>
      <c r="L31" s="299"/>
      <c r="M31" s="299"/>
      <c r="N31" s="299"/>
      <c r="O31" s="299"/>
      <c r="P31" s="299"/>
      <c r="Q31" s="299"/>
      <c r="R31" s="299"/>
      <c r="S31" s="299"/>
      <c r="T31" s="299"/>
    </row>
    <row r="32" spans="2:20" x14ac:dyDescent="0.3">
      <c r="B32" s="299"/>
      <c r="C32" s="299"/>
      <c r="D32" s="299"/>
      <c r="E32" s="299"/>
      <c r="F32" s="299"/>
      <c r="G32" s="299"/>
      <c r="H32" s="299"/>
      <c r="I32" s="299"/>
      <c r="J32" s="299"/>
      <c r="K32" s="299"/>
      <c r="L32" s="299"/>
      <c r="M32" s="299"/>
      <c r="N32" s="299"/>
      <c r="O32" s="299"/>
      <c r="P32" s="299"/>
      <c r="Q32" s="299"/>
      <c r="R32" s="299"/>
      <c r="S32" s="299"/>
      <c r="T32" s="299"/>
    </row>
    <row r="33" spans="2:20" x14ac:dyDescent="0.3">
      <c r="B33" s="299"/>
      <c r="C33" s="299"/>
      <c r="D33" s="299"/>
      <c r="E33" s="299"/>
      <c r="F33" s="299"/>
      <c r="G33" s="299"/>
      <c r="H33" s="299"/>
      <c r="I33" s="299"/>
      <c r="J33" s="299"/>
      <c r="K33" s="299"/>
      <c r="L33" s="299"/>
      <c r="M33" s="299"/>
      <c r="N33" s="299"/>
      <c r="O33" s="299"/>
      <c r="P33" s="299"/>
      <c r="Q33" s="299"/>
      <c r="R33" s="299"/>
      <c r="S33" s="299"/>
      <c r="T33" s="299"/>
    </row>
    <row r="34" spans="2:20" x14ac:dyDescent="0.3">
      <c r="B34" s="299"/>
      <c r="C34" s="299"/>
      <c r="D34" s="299"/>
      <c r="E34" s="299"/>
      <c r="F34" s="299"/>
      <c r="G34" s="299"/>
      <c r="H34" s="299"/>
      <c r="I34" s="299"/>
      <c r="J34" s="299"/>
      <c r="K34" s="299"/>
      <c r="L34" s="299"/>
      <c r="M34" s="299"/>
      <c r="N34" s="299"/>
      <c r="O34" s="299"/>
      <c r="P34" s="299"/>
      <c r="Q34" s="299"/>
      <c r="R34" s="299"/>
      <c r="S34" s="299"/>
      <c r="T34" s="299"/>
    </row>
    <row r="35" spans="2:20" x14ac:dyDescent="0.3">
      <c r="B35" s="299"/>
      <c r="C35" s="299"/>
      <c r="D35" s="299"/>
      <c r="E35" s="299"/>
      <c r="F35" s="299"/>
      <c r="G35" s="299"/>
      <c r="H35" s="299"/>
      <c r="I35" s="299"/>
      <c r="J35" s="299"/>
      <c r="K35" s="299"/>
      <c r="L35" s="299"/>
      <c r="M35" s="299"/>
      <c r="N35" s="299"/>
      <c r="O35" s="299"/>
      <c r="P35" s="299"/>
      <c r="Q35" s="299"/>
      <c r="R35" s="299"/>
      <c r="S35" s="299"/>
      <c r="T35" s="299"/>
    </row>
    <row r="36" spans="2:20" x14ac:dyDescent="0.3">
      <c r="B36" s="299"/>
      <c r="C36" s="299"/>
      <c r="D36" s="299"/>
      <c r="E36" s="299"/>
      <c r="F36" s="299"/>
      <c r="G36" s="299"/>
      <c r="H36" s="299"/>
      <c r="I36" s="299"/>
      <c r="J36" s="299"/>
      <c r="K36" s="299"/>
      <c r="L36" s="299"/>
      <c r="M36" s="299"/>
      <c r="N36" s="299"/>
      <c r="O36" s="299"/>
      <c r="P36" s="299"/>
      <c r="Q36" s="299"/>
      <c r="R36" s="299"/>
      <c r="S36" s="299"/>
      <c r="T36" s="299"/>
    </row>
    <row r="37" spans="2:20" x14ac:dyDescent="0.3">
      <c r="B37" s="299"/>
      <c r="C37" s="299"/>
      <c r="D37" s="299"/>
      <c r="E37" s="299"/>
      <c r="F37" s="299"/>
      <c r="G37" s="299"/>
      <c r="H37" s="299"/>
      <c r="I37" s="299"/>
      <c r="J37" s="299"/>
      <c r="K37" s="299"/>
      <c r="L37" s="299"/>
      <c r="M37" s="299"/>
      <c r="N37" s="299"/>
      <c r="O37" s="299"/>
      <c r="P37" s="299"/>
      <c r="Q37" s="299"/>
      <c r="R37" s="299"/>
      <c r="S37" s="299"/>
      <c r="T37" s="299"/>
    </row>
    <row r="38" spans="2:20" x14ac:dyDescent="0.3">
      <c r="B38" s="299"/>
      <c r="C38" s="299"/>
      <c r="D38" s="299"/>
      <c r="E38" s="299"/>
      <c r="F38" s="299"/>
      <c r="G38" s="299"/>
      <c r="H38" s="299"/>
      <c r="I38" s="299"/>
      <c r="J38" s="299"/>
      <c r="K38" s="299"/>
      <c r="L38" s="299"/>
      <c r="M38" s="299"/>
      <c r="N38" s="299"/>
      <c r="O38" s="299"/>
      <c r="P38" s="299"/>
      <c r="Q38" s="299"/>
      <c r="R38" s="299"/>
      <c r="S38" s="299"/>
      <c r="T38" s="299"/>
    </row>
    <row r="39" spans="2:20" x14ac:dyDescent="0.3">
      <c r="B39" s="299"/>
      <c r="C39" s="299"/>
      <c r="D39" s="299"/>
      <c r="E39" s="299"/>
      <c r="F39" s="299"/>
      <c r="G39" s="299"/>
      <c r="H39" s="299"/>
      <c r="I39" s="299"/>
      <c r="J39" s="299"/>
      <c r="K39" s="299"/>
      <c r="L39" s="299"/>
      <c r="M39" s="299"/>
      <c r="N39" s="299"/>
      <c r="O39" s="299"/>
      <c r="P39" s="299"/>
      <c r="Q39" s="299"/>
      <c r="R39" s="299"/>
      <c r="S39" s="299"/>
      <c r="T39" s="299"/>
    </row>
    <row r="40" spans="2:20" x14ac:dyDescent="0.3">
      <c r="B40" s="299"/>
      <c r="C40" s="299"/>
      <c r="D40" s="299"/>
      <c r="E40" s="299"/>
      <c r="F40" s="299"/>
      <c r="G40" s="299"/>
      <c r="H40" s="299"/>
      <c r="I40" s="299"/>
      <c r="J40" s="299"/>
      <c r="K40" s="299"/>
      <c r="L40" s="299"/>
      <c r="M40" s="299"/>
      <c r="N40" s="299"/>
      <c r="O40" s="299"/>
      <c r="P40" s="299"/>
      <c r="Q40" s="299"/>
      <c r="R40" s="299"/>
      <c r="S40" s="299"/>
      <c r="T40" s="299"/>
    </row>
    <row r="41" spans="2:20" x14ac:dyDescent="0.3">
      <c r="B41" s="299"/>
      <c r="C41" s="299"/>
      <c r="D41" s="299"/>
      <c r="E41" s="299"/>
      <c r="F41" s="299"/>
      <c r="G41" s="299"/>
      <c r="H41" s="299"/>
      <c r="I41" s="299"/>
      <c r="J41" s="299"/>
      <c r="K41" s="299"/>
      <c r="L41" s="299"/>
      <c r="M41" s="299"/>
      <c r="N41" s="299"/>
      <c r="O41" s="299"/>
      <c r="P41" s="299"/>
      <c r="Q41" s="299"/>
      <c r="R41" s="299"/>
      <c r="S41" s="299"/>
      <c r="T41" s="299"/>
    </row>
    <row r="42" spans="2:20" x14ac:dyDescent="0.3">
      <c r="B42" s="299"/>
      <c r="C42" s="299"/>
      <c r="D42" s="299"/>
      <c r="E42" s="299"/>
      <c r="F42" s="299"/>
      <c r="G42" s="299"/>
      <c r="H42" s="299"/>
      <c r="I42" s="299"/>
      <c r="J42" s="299"/>
      <c r="K42" s="299"/>
      <c r="L42" s="299"/>
      <c r="M42" s="299"/>
      <c r="N42" s="299"/>
      <c r="O42" s="299"/>
      <c r="P42" s="299"/>
      <c r="Q42" s="299"/>
      <c r="R42" s="299"/>
      <c r="S42" s="299"/>
      <c r="T42" s="299"/>
    </row>
    <row r="43" spans="2:20" x14ac:dyDescent="0.3">
      <c r="B43" s="299"/>
      <c r="C43" s="299"/>
      <c r="D43" s="299"/>
      <c r="E43" s="299"/>
      <c r="F43" s="299"/>
      <c r="G43" s="299"/>
      <c r="H43" s="299"/>
      <c r="I43" s="299"/>
      <c r="J43" s="299"/>
      <c r="K43" s="299"/>
      <c r="L43" s="299"/>
      <c r="M43" s="299"/>
      <c r="N43" s="299"/>
      <c r="O43" s="299"/>
      <c r="P43" s="299"/>
      <c r="Q43" s="299"/>
      <c r="R43" s="299"/>
      <c r="S43" s="299"/>
      <c r="T43" s="299"/>
    </row>
    <row r="44" spans="2:20" x14ac:dyDescent="0.3">
      <c r="B44" s="299"/>
      <c r="C44" s="299"/>
      <c r="D44" s="299"/>
      <c r="E44" s="299"/>
      <c r="F44" s="299"/>
      <c r="G44" s="299"/>
      <c r="H44" s="299"/>
      <c r="I44" s="299"/>
      <c r="J44" s="299"/>
      <c r="K44" s="299"/>
      <c r="L44" s="299"/>
      <c r="M44" s="299"/>
      <c r="N44" s="299"/>
      <c r="O44" s="299"/>
      <c r="P44" s="299"/>
      <c r="Q44" s="299"/>
      <c r="R44" s="299"/>
      <c r="S44" s="299"/>
      <c r="T44" s="299"/>
    </row>
    <row r="45" spans="2:20" x14ac:dyDescent="0.3">
      <c r="B45" s="299"/>
      <c r="C45" s="299"/>
      <c r="D45" s="299"/>
      <c r="E45" s="299"/>
      <c r="F45" s="299"/>
      <c r="G45" s="299"/>
      <c r="H45" s="299"/>
      <c r="I45" s="299"/>
      <c r="J45" s="299"/>
      <c r="K45" s="299"/>
      <c r="L45" s="299"/>
      <c r="M45" s="299"/>
      <c r="N45" s="299"/>
      <c r="O45" s="299"/>
      <c r="P45" s="299"/>
      <c r="Q45" s="299"/>
      <c r="R45" s="299"/>
      <c r="S45" s="299"/>
      <c r="T45" s="299"/>
    </row>
    <row r="46" spans="2:20" x14ac:dyDescent="0.3">
      <c r="B46" s="299"/>
      <c r="C46" s="299"/>
      <c r="D46" s="299"/>
      <c r="E46" s="299"/>
      <c r="F46" s="299"/>
      <c r="G46" s="299"/>
      <c r="H46" s="299"/>
      <c r="I46" s="299"/>
      <c r="J46" s="299"/>
      <c r="K46" s="299"/>
      <c r="L46" s="299"/>
      <c r="M46" s="299"/>
      <c r="N46" s="299"/>
      <c r="O46" s="299"/>
      <c r="P46" s="299"/>
      <c r="Q46" s="299"/>
      <c r="R46" s="299"/>
      <c r="S46" s="299"/>
      <c r="T46" s="299"/>
    </row>
    <row r="47" spans="2:20" x14ac:dyDescent="0.3">
      <c r="B47" s="299"/>
      <c r="C47" s="299"/>
      <c r="D47" s="299"/>
      <c r="E47" s="299"/>
      <c r="F47" s="299"/>
      <c r="G47" s="299"/>
      <c r="H47" s="299"/>
      <c r="I47" s="299"/>
      <c r="J47" s="299"/>
      <c r="K47" s="299"/>
      <c r="L47" s="299"/>
      <c r="M47" s="299"/>
      <c r="N47" s="299"/>
      <c r="O47" s="299"/>
      <c r="P47" s="299"/>
      <c r="Q47" s="299"/>
      <c r="R47" s="299"/>
      <c r="S47" s="299"/>
      <c r="T47" s="299"/>
    </row>
    <row r="48" spans="2:20" x14ac:dyDescent="0.3">
      <c r="B48" s="299"/>
      <c r="C48" s="299"/>
      <c r="D48" s="299"/>
      <c r="E48" s="299"/>
      <c r="F48" s="299"/>
      <c r="G48" s="299"/>
      <c r="H48" s="299"/>
      <c r="I48" s="299"/>
      <c r="J48" s="299"/>
      <c r="K48" s="299"/>
      <c r="L48" s="299"/>
      <c r="M48" s="299"/>
      <c r="N48" s="299"/>
      <c r="O48" s="299"/>
      <c r="P48" s="299"/>
      <c r="Q48" s="299"/>
      <c r="R48" s="299"/>
      <c r="S48" s="299"/>
      <c r="T48" s="299"/>
    </row>
    <row r="49" spans="2:20" x14ac:dyDescent="0.3">
      <c r="B49" s="299"/>
      <c r="C49" s="299"/>
      <c r="D49" s="299"/>
      <c r="E49" s="299"/>
      <c r="F49" s="299"/>
      <c r="G49" s="299"/>
      <c r="H49" s="299"/>
      <c r="I49" s="299"/>
      <c r="J49" s="299"/>
      <c r="K49" s="299"/>
      <c r="L49" s="299"/>
      <c r="M49" s="299"/>
      <c r="N49" s="299"/>
      <c r="O49" s="299"/>
      <c r="P49" s="299"/>
      <c r="Q49" s="299"/>
      <c r="R49" s="299"/>
      <c r="S49" s="299"/>
      <c r="T49" s="299"/>
    </row>
    <row r="50" spans="2:20" x14ac:dyDescent="0.3">
      <c r="B50" s="299"/>
      <c r="C50" s="299"/>
      <c r="D50" s="299"/>
      <c r="E50" s="299"/>
      <c r="F50" s="299"/>
      <c r="G50" s="299"/>
      <c r="H50" s="299"/>
      <c r="I50" s="299"/>
      <c r="J50" s="299"/>
      <c r="K50" s="299"/>
      <c r="L50" s="299"/>
      <c r="M50" s="299"/>
      <c r="N50" s="299"/>
      <c r="O50" s="299"/>
      <c r="P50" s="299"/>
      <c r="Q50" s="299"/>
      <c r="R50" s="299"/>
      <c r="S50" s="299"/>
      <c r="T50" s="299"/>
    </row>
    <row r="51" spans="2:20" x14ac:dyDescent="0.3">
      <c r="B51" s="299"/>
      <c r="C51" s="299"/>
      <c r="D51" s="299"/>
      <c r="E51" s="299"/>
      <c r="F51" s="299"/>
      <c r="G51" s="299"/>
      <c r="H51" s="299"/>
      <c r="I51" s="299"/>
      <c r="J51" s="299"/>
      <c r="K51" s="299"/>
      <c r="L51" s="299"/>
      <c r="M51" s="299"/>
      <c r="N51" s="299"/>
      <c r="O51" s="299"/>
      <c r="P51" s="299"/>
      <c r="Q51" s="299"/>
      <c r="R51" s="299"/>
      <c r="S51" s="299"/>
      <c r="T51" s="299"/>
    </row>
    <row r="52" spans="2:20" x14ac:dyDescent="0.3">
      <c r="B52" s="299"/>
      <c r="C52" s="299"/>
      <c r="D52" s="299"/>
      <c r="E52" s="299"/>
      <c r="F52" s="299"/>
      <c r="G52" s="299"/>
      <c r="H52" s="299"/>
      <c r="I52" s="299"/>
      <c r="J52" s="299"/>
      <c r="K52" s="299"/>
      <c r="L52" s="299"/>
      <c r="M52" s="299"/>
      <c r="N52" s="299"/>
      <c r="O52" s="299"/>
      <c r="P52" s="299"/>
      <c r="Q52" s="299"/>
      <c r="R52" s="299"/>
      <c r="S52" s="299"/>
      <c r="T52" s="299"/>
    </row>
    <row r="53" spans="2:20" x14ac:dyDescent="0.3">
      <c r="B53" s="299"/>
      <c r="C53" s="299"/>
      <c r="D53" s="299"/>
      <c r="E53" s="299"/>
      <c r="F53" s="299"/>
      <c r="G53" s="299"/>
      <c r="H53" s="299"/>
      <c r="I53" s="299"/>
      <c r="J53" s="299"/>
      <c r="K53" s="299"/>
      <c r="L53" s="299"/>
      <c r="M53" s="299"/>
      <c r="N53" s="299"/>
      <c r="O53" s="299"/>
      <c r="P53" s="299"/>
      <c r="Q53" s="299"/>
      <c r="R53" s="299"/>
      <c r="S53" s="299"/>
      <c r="T53" s="299"/>
    </row>
    <row r="54" spans="2:20" x14ac:dyDescent="0.3">
      <c r="B54" s="299"/>
      <c r="C54" s="299"/>
      <c r="D54" s="299"/>
      <c r="E54" s="299"/>
      <c r="F54" s="299"/>
      <c r="G54" s="299"/>
      <c r="H54" s="299"/>
      <c r="I54" s="299"/>
      <c r="J54" s="299"/>
      <c r="K54" s="299"/>
      <c r="L54" s="299"/>
      <c r="M54" s="299"/>
      <c r="N54" s="299"/>
      <c r="O54" s="299"/>
      <c r="P54" s="299"/>
      <c r="Q54" s="299"/>
      <c r="R54" s="299"/>
      <c r="S54" s="299"/>
      <c r="T54" s="299"/>
    </row>
    <row r="55" spans="2:20" x14ac:dyDescent="0.3">
      <c r="B55" s="299"/>
      <c r="C55" s="299"/>
      <c r="D55" s="299"/>
      <c r="E55" s="299"/>
      <c r="F55" s="299"/>
      <c r="G55" s="299"/>
      <c r="H55" s="299"/>
      <c r="I55" s="299"/>
      <c r="J55" s="299"/>
      <c r="K55" s="299"/>
      <c r="L55" s="299"/>
      <c r="M55" s="299"/>
      <c r="N55" s="299"/>
      <c r="O55" s="299"/>
      <c r="P55" s="299"/>
      <c r="Q55" s="299"/>
      <c r="R55" s="299"/>
      <c r="S55" s="299"/>
      <c r="T55" s="299"/>
    </row>
    <row r="56" spans="2:20" x14ac:dyDescent="0.3">
      <c r="B56" s="299"/>
      <c r="C56" s="299"/>
      <c r="D56" s="299"/>
      <c r="E56" s="299"/>
      <c r="F56" s="299"/>
      <c r="G56" s="299"/>
      <c r="H56" s="299"/>
      <c r="I56" s="299"/>
      <c r="J56" s="299"/>
      <c r="K56" s="299"/>
      <c r="L56" s="299"/>
      <c r="M56" s="299"/>
      <c r="N56" s="299"/>
      <c r="O56" s="299"/>
      <c r="P56" s="299"/>
      <c r="Q56" s="299"/>
      <c r="R56" s="299"/>
      <c r="S56" s="299"/>
      <c r="T56" s="299"/>
    </row>
    <row r="58" spans="2:20" ht="26.25" x14ac:dyDescent="0.3">
      <c r="B58" s="298" t="s">
        <v>707</v>
      </c>
      <c r="C58" s="298"/>
      <c r="D58" s="298"/>
      <c r="E58" s="298"/>
      <c r="F58" s="298"/>
      <c r="G58" s="298"/>
      <c r="H58" s="298"/>
      <c r="I58" s="298"/>
      <c r="J58" s="298"/>
      <c r="K58" s="298"/>
      <c r="L58" s="298"/>
      <c r="M58" s="298"/>
      <c r="N58" s="298"/>
      <c r="O58" s="298"/>
      <c r="P58" s="298"/>
      <c r="Q58" s="298"/>
      <c r="R58" s="298"/>
      <c r="S58" s="298"/>
      <c r="T58" s="298"/>
    </row>
    <row r="59" spans="2:20" x14ac:dyDescent="0.3">
      <c r="B59" s="299"/>
      <c r="C59" s="299"/>
      <c r="D59" s="299"/>
      <c r="E59" s="299"/>
      <c r="F59" s="299"/>
      <c r="G59" s="299"/>
      <c r="H59" s="299"/>
      <c r="I59" s="299"/>
      <c r="J59" s="299"/>
      <c r="K59" s="299"/>
      <c r="L59" s="299"/>
      <c r="M59" s="299"/>
      <c r="N59" s="299"/>
      <c r="O59" s="299"/>
      <c r="P59" s="299"/>
      <c r="Q59" s="299"/>
      <c r="R59" s="299"/>
      <c r="S59" s="299"/>
      <c r="T59" s="299"/>
    </row>
    <row r="60" spans="2:20" x14ac:dyDescent="0.3">
      <c r="B60" s="299"/>
      <c r="C60" s="299"/>
      <c r="D60" s="299"/>
      <c r="E60" s="299"/>
      <c r="F60" s="299"/>
      <c r="G60" s="299"/>
      <c r="H60" s="299"/>
      <c r="I60" s="299"/>
      <c r="J60" s="299"/>
      <c r="K60" s="299"/>
      <c r="L60" s="299"/>
      <c r="M60" s="299"/>
      <c r="N60" s="299"/>
      <c r="O60" s="299"/>
      <c r="P60" s="299"/>
      <c r="Q60" s="299"/>
      <c r="R60" s="299"/>
      <c r="S60" s="299"/>
      <c r="T60" s="299"/>
    </row>
    <row r="61" spans="2:20" x14ac:dyDescent="0.3">
      <c r="B61" s="299"/>
      <c r="C61" s="299"/>
      <c r="D61" s="299"/>
      <c r="E61" s="299"/>
      <c r="F61" s="299"/>
      <c r="G61" s="299"/>
      <c r="H61" s="299"/>
      <c r="I61" s="299"/>
      <c r="J61" s="299"/>
      <c r="K61" s="299"/>
      <c r="L61" s="299"/>
      <c r="M61" s="299"/>
      <c r="N61" s="299"/>
      <c r="O61" s="299"/>
      <c r="P61" s="299"/>
      <c r="Q61" s="299"/>
      <c r="R61" s="299"/>
      <c r="S61" s="299"/>
      <c r="T61" s="299"/>
    </row>
    <row r="62" spans="2:20" x14ac:dyDescent="0.3">
      <c r="B62" s="299"/>
      <c r="C62" s="299"/>
      <c r="D62" s="299"/>
      <c r="E62" s="299"/>
      <c r="F62" s="299"/>
      <c r="G62" s="299"/>
      <c r="H62" s="299"/>
      <c r="I62" s="299"/>
      <c r="J62" s="299"/>
      <c r="K62" s="299"/>
      <c r="L62" s="299"/>
      <c r="M62" s="299"/>
      <c r="N62" s="299"/>
      <c r="O62" s="299"/>
      <c r="P62" s="299"/>
      <c r="Q62" s="299"/>
      <c r="R62" s="299"/>
      <c r="S62" s="299"/>
      <c r="T62" s="299"/>
    </row>
    <row r="63" spans="2:20" x14ac:dyDescent="0.3">
      <c r="B63" s="299"/>
      <c r="C63" s="299"/>
      <c r="D63" s="299"/>
      <c r="E63" s="299"/>
      <c r="F63" s="299"/>
      <c r="G63" s="299"/>
      <c r="H63" s="299"/>
      <c r="I63" s="299"/>
      <c r="J63" s="299"/>
      <c r="K63" s="299"/>
      <c r="L63" s="299"/>
      <c r="M63" s="299"/>
      <c r="N63" s="299"/>
      <c r="O63" s="299"/>
      <c r="P63" s="299"/>
      <c r="Q63" s="299"/>
      <c r="R63" s="299"/>
      <c r="S63" s="299"/>
      <c r="T63" s="299"/>
    </row>
    <row r="64" spans="2:20" x14ac:dyDescent="0.3">
      <c r="B64" s="299"/>
      <c r="C64" s="299"/>
      <c r="D64" s="299"/>
      <c r="E64" s="299"/>
      <c r="F64" s="299"/>
      <c r="G64" s="299"/>
      <c r="H64" s="299"/>
      <c r="I64" s="299"/>
      <c r="J64" s="299"/>
      <c r="K64" s="299"/>
      <c r="L64" s="299"/>
      <c r="M64" s="299"/>
      <c r="N64" s="299"/>
      <c r="O64" s="299"/>
      <c r="P64" s="299"/>
      <c r="Q64" s="299"/>
      <c r="R64" s="299"/>
      <c r="S64" s="299"/>
      <c r="T64" s="299"/>
    </row>
    <row r="65" spans="2:20" x14ac:dyDescent="0.3">
      <c r="B65" s="299"/>
      <c r="C65" s="299"/>
      <c r="D65" s="299"/>
      <c r="E65" s="299"/>
      <c r="F65" s="299"/>
      <c r="G65" s="299"/>
      <c r="H65" s="299"/>
      <c r="I65" s="299"/>
      <c r="J65" s="299"/>
      <c r="K65" s="299"/>
      <c r="L65" s="299"/>
      <c r="M65" s="299"/>
      <c r="N65" s="299"/>
      <c r="O65" s="299"/>
      <c r="P65" s="299"/>
      <c r="Q65" s="299"/>
      <c r="R65" s="299"/>
      <c r="S65" s="299"/>
      <c r="T65" s="299"/>
    </row>
    <row r="66" spans="2:20" x14ac:dyDescent="0.3">
      <c r="B66" s="299"/>
      <c r="C66" s="299"/>
      <c r="D66" s="299"/>
      <c r="E66" s="299"/>
      <c r="F66" s="299"/>
      <c r="G66" s="299"/>
      <c r="H66" s="299"/>
      <c r="I66" s="299"/>
      <c r="J66" s="299"/>
      <c r="K66" s="299"/>
      <c r="L66" s="299"/>
      <c r="M66" s="299"/>
      <c r="N66" s="299"/>
      <c r="O66" s="299"/>
      <c r="P66" s="299"/>
      <c r="Q66" s="299"/>
      <c r="R66" s="299"/>
      <c r="S66" s="299"/>
      <c r="T66" s="299"/>
    </row>
    <row r="67" spans="2:20" x14ac:dyDescent="0.3">
      <c r="B67" s="299"/>
      <c r="C67" s="299"/>
      <c r="D67" s="299"/>
      <c r="E67" s="299"/>
      <c r="F67" s="299"/>
      <c r="G67" s="299"/>
      <c r="H67" s="299"/>
      <c r="I67" s="299"/>
      <c r="J67" s="299"/>
      <c r="K67" s="299"/>
      <c r="L67" s="299"/>
      <c r="M67" s="299"/>
      <c r="N67" s="299"/>
      <c r="O67" s="299"/>
      <c r="P67" s="299"/>
      <c r="Q67" s="299"/>
      <c r="R67" s="299"/>
      <c r="S67" s="299"/>
      <c r="T67" s="299"/>
    </row>
    <row r="68" spans="2:20" x14ac:dyDescent="0.3">
      <c r="B68" s="299"/>
      <c r="C68" s="299"/>
      <c r="D68" s="299"/>
      <c r="E68" s="299"/>
      <c r="F68" s="299"/>
      <c r="G68" s="299"/>
      <c r="H68" s="299"/>
      <c r="I68" s="299"/>
      <c r="J68" s="299"/>
      <c r="K68" s="299"/>
      <c r="L68" s="299"/>
      <c r="M68" s="299"/>
      <c r="N68" s="299"/>
      <c r="O68" s="299"/>
      <c r="P68" s="299"/>
      <c r="Q68" s="299"/>
      <c r="R68" s="299"/>
      <c r="S68" s="299"/>
      <c r="T68" s="299"/>
    </row>
    <row r="69" spans="2:20" x14ac:dyDescent="0.3">
      <c r="B69" s="299"/>
      <c r="C69" s="299"/>
      <c r="D69" s="299"/>
      <c r="E69" s="299"/>
      <c r="F69" s="299"/>
      <c r="G69" s="299"/>
      <c r="H69" s="299"/>
      <c r="I69" s="299"/>
      <c r="J69" s="299"/>
      <c r="K69" s="299"/>
      <c r="L69" s="299"/>
      <c r="M69" s="299"/>
      <c r="N69" s="299"/>
      <c r="O69" s="299"/>
      <c r="P69" s="299"/>
      <c r="Q69" s="299"/>
      <c r="R69" s="299"/>
      <c r="S69" s="299"/>
      <c r="T69" s="299"/>
    </row>
    <row r="70" spans="2:20" x14ac:dyDescent="0.3">
      <c r="B70" s="299"/>
      <c r="C70" s="299"/>
      <c r="D70" s="299"/>
      <c r="E70" s="299"/>
      <c r="F70" s="299"/>
      <c r="G70" s="299"/>
      <c r="H70" s="299"/>
      <c r="I70" s="299"/>
      <c r="J70" s="299"/>
      <c r="K70" s="299"/>
      <c r="L70" s="299"/>
      <c r="M70" s="299"/>
      <c r="N70" s="299"/>
      <c r="O70" s="299"/>
      <c r="P70" s="299"/>
      <c r="Q70" s="299"/>
      <c r="R70" s="299"/>
      <c r="S70" s="299"/>
      <c r="T70" s="299"/>
    </row>
    <row r="71" spans="2:20" x14ac:dyDescent="0.3">
      <c r="B71" s="299"/>
      <c r="C71" s="299"/>
      <c r="D71" s="299"/>
      <c r="E71" s="299"/>
      <c r="F71" s="299"/>
      <c r="G71" s="299"/>
      <c r="H71" s="299"/>
      <c r="I71" s="299"/>
      <c r="J71" s="299"/>
      <c r="K71" s="299"/>
      <c r="L71" s="299"/>
      <c r="M71" s="299"/>
      <c r="N71" s="299"/>
      <c r="O71" s="299"/>
      <c r="P71" s="299"/>
      <c r="Q71" s="299"/>
      <c r="R71" s="299"/>
      <c r="S71" s="299"/>
      <c r="T71" s="299"/>
    </row>
    <row r="72" spans="2:20" x14ac:dyDescent="0.3">
      <c r="B72" s="299"/>
      <c r="C72" s="299"/>
      <c r="D72" s="299"/>
      <c r="E72" s="299"/>
      <c r="F72" s="299"/>
      <c r="G72" s="299"/>
      <c r="H72" s="299"/>
      <c r="I72" s="299"/>
      <c r="J72" s="299"/>
      <c r="K72" s="299"/>
      <c r="L72" s="299"/>
      <c r="M72" s="299"/>
      <c r="N72" s="299"/>
      <c r="O72" s="299"/>
      <c r="P72" s="299"/>
      <c r="Q72" s="299"/>
      <c r="R72" s="299"/>
      <c r="S72" s="299"/>
      <c r="T72" s="299"/>
    </row>
    <row r="73" spans="2:20" x14ac:dyDescent="0.3">
      <c r="B73" s="299"/>
      <c r="C73" s="299"/>
      <c r="D73" s="299"/>
      <c r="E73" s="299"/>
      <c r="F73" s="299"/>
      <c r="G73" s="299"/>
      <c r="H73" s="299"/>
      <c r="I73" s="299"/>
      <c r="J73" s="299"/>
      <c r="K73" s="299"/>
      <c r="L73" s="299"/>
      <c r="M73" s="299"/>
      <c r="N73" s="299"/>
      <c r="O73" s="299"/>
      <c r="P73" s="299"/>
      <c r="Q73" s="299"/>
      <c r="R73" s="299"/>
      <c r="S73" s="299"/>
      <c r="T73" s="299"/>
    </row>
    <row r="74" spans="2:20" x14ac:dyDescent="0.3">
      <c r="B74" s="299"/>
      <c r="C74" s="299"/>
      <c r="D74" s="299"/>
      <c r="E74" s="299"/>
      <c r="F74" s="299"/>
      <c r="G74" s="299"/>
      <c r="H74" s="299"/>
      <c r="I74" s="299"/>
      <c r="J74" s="299"/>
      <c r="K74" s="299"/>
      <c r="L74" s="299"/>
      <c r="M74" s="299"/>
      <c r="N74" s="299"/>
      <c r="O74" s="299"/>
      <c r="P74" s="299"/>
      <c r="Q74" s="299"/>
      <c r="R74" s="299"/>
      <c r="S74" s="299"/>
      <c r="T74" s="299"/>
    </row>
    <row r="75" spans="2:20" x14ac:dyDescent="0.3">
      <c r="B75" s="299"/>
      <c r="C75" s="299"/>
      <c r="D75" s="299"/>
      <c r="E75" s="299"/>
      <c r="F75" s="299"/>
      <c r="G75" s="299"/>
      <c r="H75" s="299"/>
      <c r="I75" s="299"/>
      <c r="J75" s="299"/>
      <c r="K75" s="299"/>
      <c r="L75" s="299"/>
      <c r="M75" s="299"/>
      <c r="N75" s="299"/>
      <c r="O75" s="299"/>
      <c r="P75" s="299"/>
      <c r="Q75" s="299"/>
      <c r="R75" s="299"/>
      <c r="S75" s="299"/>
      <c r="T75" s="299"/>
    </row>
    <row r="76" spans="2:20" x14ac:dyDescent="0.3">
      <c r="B76" s="299"/>
      <c r="C76" s="299"/>
      <c r="D76" s="299"/>
      <c r="E76" s="299"/>
      <c r="F76" s="299"/>
      <c r="G76" s="299"/>
      <c r="H76" s="299"/>
      <c r="I76" s="299"/>
      <c r="J76" s="299"/>
      <c r="K76" s="299"/>
      <c r="L76" s="299"/>
      <c r="M76" s="299"/>
      <c r="N76" s="299"/>
      <c r="O76" s="299"/>
      <c r="P76" s="299"/>
      <c r="Q76" s="299"/>
      <c r="R76" s="299"/>
      <c r="S76" s="299"/>
      <c r="T76" s="299"/>
    </row>
    <row r="77" spans="2:20" x14ac:dyDescent="0.3">
      <c r="B77" s="299"/>
      <c r="C77" s="299"/>
      <c r="D77" s="299"/>
      <c r="E77" s="299"/>
      <c r="F77" s="299"/>
      <c r="G77" s="299"/>
      <c r="H77" s="299"/>
      <c r="I77" s="299"/>
      <c r="J77" s="299"/>
      <c r="K77" s="299"/>
      <c r="L77" s="299"/>
      <c r="M77" s="299"/>
      <c r="N77" s="299"/>
      <c r="O77" s="299"/>
      <c r="P77" s="299"/>
      <c r="Q77" s="299"/>
      <c r="R77" s="299"/>
      <c r="S77" s="299"/>
      <c r="T77" s="299"/>
    </row>
    <row r="78" spans="2:20" x14ac:dyDescent="0.3">
      <c r="B78" s="299"/>
      <c r="C78" s="299"/>
      <c r="D78" s="299"/>
      <c r="E78" s="299"/>
      <c r="F78" s="299"/>
      <c r="G78" s="299"/>
      <c r="H78" s="299"/>
      <c r="I78" s="299"/>
      <c r="J78" s="299"/>
      <c r="K78" s="299"/>
      <c r="L78" s="299"/>
      <c r="M78" s="299"/>
      <c r="N78" s="299"/>
      <c r="O78" s="299"/>
      <c r="P78" s="299"/>
      <c r="Q78" s="299"/>
      <c r="R78" s="299"/>
      <c r="S78" s="299"/>
      <c r="T78" s="299"/>
    </row>
    <row r="79" spans="2:20" x14ac:dyDescent="0.3">
      <c r="B79" s="299"/>
      <c r="C79" s="299"/>
      <c r="D79" s="299"/>
      <c r="E79" s="299"/>
      <c r="F79" s="299"/>
      <c r="G79" s="299"/>
      <c r="H79" s="299"/>
      <c r="I79" s="299"/>
      <c r="J79" s="299"/>
      <c r="K79" s="299"/>
      <c r="L79" s="299"/>
      <c r="M79" s="299"/>
      <c r="N79" s="299"/>
      <c r="O79" s="299"/>
      <c r="P79" s="299"/>
      <c r="Q79" s="299"/>
      <c r="R79" s="299"/>
      <c r="S79" s="299"/>
      <c r="T79" s="299"/>
    </row>
    <row r="80" spans="2:20" x14ac:dyDescent="0.3">
      <c r="B80" s="299"/>
      <c r="C80" s="299"/>
      <c r="D80" s="299"/>
      <c r="E80" s="299"/>
      <c r="F80" s="299"/>
      <c r="G80" s="299"/>
      <c r="H80" s="299"/>
      <c r="I80" s="299"/>
      <c r="J80" s="299"/>
      <c r="K80" s="299"/>
      <c r="L80" s="299"/>
      <c r="M80" s="299"/>
      <c r="N80" s="299"/>
      <c r="O80" s="299"/>
      <c r="P80" s="299"/>
      <c r="Q80" s="299"/>
      <c r="R80" s="299"/>
      <c r="S80" s="299"/>
      <c r="T80" s="299"/>
    </row>
    <row r="81" spans="2:20" x14ac:dyDescent="0.3">
      <c r="B81" s="299"/>
      <c r="C81" s="299"/>
      <c r="D81" s="299"/>
      <c r="E81" s="299"/>
      <c r="F81" s="299"/>
      <c r="G81" s="299"/>
      <c r="H81" s="299"/>
      <c r="I81" s="299"/>
      <c r="J81" s="299"/>
      <c r="K81" s="299"/>
      <c r="L81" s="299"/>
      <c r="M81" s="299"/>
      <c r="N81" s="299"/>
      <c r="O81" s="299"/>
      <c r="P81" s="299"/>
      <c r="Q81" s="299"/>
      <c r="R81" s="299"/>
      <c r="S81" s="299"/>
      <c r="T81" s="299"/>
    </row>
    <row r="82" spans="2:20" x14ac:dyDescent="0.3">
      <c r="B82" s="299"/>
      <c r="C82" s="299"/>
      <c r="D82" s="299"/>
      <c r="E82" s="299"/>
      <c r="F82" s="299"/>
      <c r="G82" s="299"/>
      <c r="H82" s="299"/>
      <c r="I82" s="299"/>
      <c r="J82" s="299"/>
      <c r="K82" s="299"/>
      <c r="L82" s="299"/>
      <c r="M82" s="299"/>
      <c r="N82" s="299"/>
      <c r="O82" s="299"/>
      <c r="P82" s="299"/>
      <c r="Q82" s="299"/>
      <c r="R82" s="299"/>
      <c r="S82" s="299"/>
      <c r="T82" s="299"/>
    </row>
    <row r="83" spans="2:20" x14ac:dyDescent="0.3">
      <c r="B83" s="299"/>
      <c r="C83" s="299"/>
      <c r="D83" s="299"/>
      <c r="E83" s="299"/>
      <c r="F83" s="299"/>
      <c r="G83" s="299"/>
      <c r="H83" s="299"/>
      <c r="I83" s="299"/>
      <c r="J83" s="299"/>
      <c r="K83" s="299"/>
      <c r="L83" s="299"/>
      <c r="M83" s="299"/>
      <c r="N83" s="299"/>
      <c r="O83" s="299"/>
      <c r="P83" s="299"/>
      <c r="Q83" s="299"/>
      <c r="R83" s="299"/>
      <c r="S83" s="299"/>
      <c r="T83" s="299"/>
    </row>
    <row r="84" spans="2:20" x14ac:dyDescent="0.3">
      <c r="B84" s="299"/>
      <c r="C84" s="299"/>
      <c r="D84" s="299"/>
      <c r="E84" s="299"/>
      <c r="F84" s="299"/>
      <c r="G84" s="299"/>
      <c r="H84" s="299"/>
      <c r="I84" s="299"/>
      <c r="J84" s="299"/>
      <c r="K84" s="299"/>
      <c r="L84" s="299"/>
      <c r="M84" s="299"/>
      <c r="N84" s="299"/>
      <c r="O84" s="299"/>
      <c r="P84" s="299"/>
      <c r="Q84" s="299"/>
      <c r="R84" s="299"/>
      <c r="S84" s="299"/>
      <c r="T84" s="299"/>
    </row>
    <row r="85" spans="2:20" x14ac:dyDescent="0.3">
      <c r="B85" s="299"/>
      <c r="C85" s="299"/>
      <c r="D85" s="299"/>
      <c r="E85" s="299"/>
      <c r="F85" s="299"/>
      <c r="G85" s="299"/>
      <c r="H85" s="299"/>
      <c r="I85" s="299"/>
      <c r="J85" s="299"/>
      <c r="K85" s="299"/>
      <c r="L85" s="299"/>
      <c r="M85" s="299"/>
      <c r="N85" s="299"/>
      <c r="O85" s="299"/>
      <c r="P85" s="299"/>
      <c r="Q85" s="299"/>
      <c r="R85" s="299"/>
      <c r="S85" s="299"/>
      <c r="T85" s="299"/>
    </row>
    <row r="86" spans="2:20" x14ac:dyDescent="0.3">
      <c r="B86" s="299"/>
      <c r="C86" s="299"/>
      <c r="D86" s="299"/>
      <c r="E86" s="299"/>
      <c r="F86" s="299"/>
      <c r="G86" s="299"/>
      <c r="H86" s="299"/>
      <c r="I86" s="299"/>
      <c r="J86" s="299"/>
      <c r="K86" s="299"/>
      <c r="L86" s="299"/>
      <c r="M86" s="299"/>
      <c r="N86" s="299"/>
      <c r="O86" s="299"/>
      <c r="P86" s="299"/>
      <c r="Q86" s="299"/>
      <c r="R86" s="299"/>
      <c r="S86" s="299"/>
      <c r="T86" s="299"/>
    </row>
    <row r="87" spans="2:20" x14ac:dyDescent="0.3">
      <c r="B87" s="299"/>
      <c r="C87" s="299"/>
      <c r="D87" s="299"/>
      <c r="E87" s="299"/>
      <c r="F87" s="299"/>
      <c r="G87" s="299"/>
      <c r="H87" s="299"/>
      <c r="I87" s="299"/>
      <c r="J87" s="299"/>
      <c r="K87" s="299"/>
      <c r="L87" s="299"/>
      <c r="M87" s="299"/>
      <c r="N87" s="299"/>
      <c r="O87" s="299"/>
      <c r="P87" s="299"/>
      <c r="Q87" s="299"/>
      <c r="R87" s="299"/>
      <c r="S87" s="299"/>
      <c r="T87" s="299"/>
    </row>
    <row r="88" spans="2:20" x14ac:dyDescent="0.3">
      <c r="B88" s="299"/>
      <c r="C88" s="299"/>
      <c r="D88" s="299"/>
      <c r="E88" s="299"/>
      <c r="F88" s="299"/>
      <c r="G88" s="299"/>
      <c r="H88" s="299"/>
      <c r="I88" s="299"/>
      <c r="J88" s="299"/>
      <c r="K88" s="299"/>
      <c r="L88" s="299"/>
      <c r="M88" s="299"/>
      <c r="N88" s="299"/>
      <c r="O88" s="299"/>
      <c r="P88" s="299"/>
      <c r="Q88" s="299"/>
      <c r="R88" s="299"/>
      <c r="S88" s="299"/>
      <c r="T88" s="299"/>
    </row>
    <row r="89" spans="2:20" x14ac:dyDescent="0.3">
      <c r="B89" s="299"/>
      <c r="C89" s="299"/>
      <c r="D89" s="299"/>
      <c r="E89" s="299"/>
      <c r="F89" s="299"/>
      <c r="G89" s="299"/>
      <c r="H89" s="299"/>
      <c r="I89" s="299"/>
      <c r="J89" s="299"/>
      <c r="K89" s="299"/>
      <c r="L89" s="299"/>
      <c r="M89" s="299"/>
      <c r="N89" s="299"/>
      <c r="O89" s="299"/>
      <c r="P89" s="299"/>
      <c r="Q89" s="299"/>
      <c r="R89" s="299"/>
      <c r="S89" s="299"/>
      <c r="T89" s="299"/>
    </row>
    <row r="90" spans="2:20" x14ac:dyDescent="0.3">
      <c r="B90" s="299"/>
      <c r="C90" s="299"/>
      <c r="D90" s="299"/>
      <c r="E90" s="299"/>
      <c r="F90" s="299"/>
      <c r="G90" s="299"/>
      <c r="H90" s="299"/>
      <c r="I90" s="299"/>
      <c r="J90" s="299"/>
      <c r="K90" s="299"/>
      <c r="L90" s="299"/>
      <c r="M90" s="299"/>
      <c r="N90" s="299"/>
      <c r="O90" s="299"/>
      <c r="P90" s="299"/>
      <c r="Q90" s="299"/>
      <c r="R90" s="299"/>
      <c r="S90" s="299"/>
      <c r="T90" s="299"/>
    </row>
    <row r="91" spans="2:20" x14ac:dyDescent="0.3">
      <c r="B91" s="299"/>
      <c r="C91" s="299"/>
      <c r="D91" s="299"/>
      <c r="E91" s="299"/>
      <c r="F91" s="299"/>
      <c r="G91" s="299"/>
      <c r="H91" s="299"/>
      <c r="I91" s="299"/>
      <c r="J91" s="299"/>
      <c r="K91" s="299"/>
      <c r="L91" s="299"/>
      <c r="M91" s="299"/>
      <c r="N91" s="299"/>
      <c r="O91" s="299"/>
      <c r="P91" s="299"/>
      <c r="Q91" s="299"/>
      <c r="R91" s="299"/>
      <c r="S91" s="299"/>
      <c r="T91" s="299"/>
    </row>
    <row r="92" spans="2:20" x14ac:dyDescent="0.3">
      <c r="B92" s="299"/>
      <c r="C92" s="299"/>
      <c r="D92" s="299"/>
      <c r="E92" s="299"/>
      <c r="F92" s="299"/>
      <c r="G92" s="299"/>
      <c r="H92" s="299"/>
      <c r="I92" s="299"/>
      <c r="J92" s="299"/>
      <c r="K92" s="299"/>
      <c r="L92" s="299"/>
      <c r="M92" s="299"/>
      <c r="N92" s="299"/>
      <c r="O92" s="299"/>
      <c r="P92" s="299"/>
      <c r="Q92" s="299"/>
      <c r="R92" s="299"/>
      <c r="S92" s="299"/>
      <c r="T92" s="299"/>
    </row>
    <row r="93" spans="2:20" x14ac:dyDescent="0.3">
      <c r="B93" s="299"/>
      <c r="C93" s="299"/>
      <c r="D93" s="299"/>
      <c r="E93" s="299"/>
      <c r="F93" s="299"/>
      <c r="G93" s="299"/>
      <c r="H93" s="299"/>
      <c r="I93" s="299"/>
      <c r="J93" s="299"/>
      <c r="K93" s="299"/>
      <c r="L93" s="299"/>
      <c r="M93" s="299"/>
      <c r="N93" s="299"/>
      <c r="O93" s="299"/>
      <c r="P93" s="299"/>
      <c r="Q93" s="299"/>
      <c r="R93" s="299"/>
      <c r="S93" s="299"/>
      <c r="T93" s="299"/>
    </row>
    <row r="94" spans="2:20" x14ac:dyDescent="0.3">
      <c r="B94" s="299"/>
      <c r="C94" s="299"/>
      <c r="D94" s="299"/>
      <c r="E94" s="299"/>
      <c r="F94" s="299"/>
      <c r="G94" s="299"/>
      <c r="H94" s="299"/>
      <c r="I94" s="299"/>
      <c r="J94" s="299"/>
      <c r="K94" s="299"/>
      <c r="L94" s="299"/>
      <c r="M94" s="299"/>
      <c r="N94" s="299"/>
      <c r="O94" s="299"/>
      <c r="P94" s="299"/>
      <c r="Q94" s="299"/>
      <c r="R94" s="299"/>
      <c r="S94" s="299"/>
      <c r="T94" s="299"/>
    </row>
    <row r="95" spans="2:20" x14ac:dyDescent="0.3">
      <c r="B95" s="299"/>
      <c r="C95" s="299"/>
      <c r="D95" s="299"/>
      <c r="E95" s="299"/>
      <c r="F95" s="299"/>
      <c r="G95" s="299"/>
      <c r="H95" s="299"/>
      <c r="I95" s="299"/>
      <c r="J95" s="299"/>
      <c r="K95" s="299"/>
      <c r="L95" s="299"/>
      <c r="M95" s="299"/>
      <c r="N95" s="299"/>
      <c r="O95" s="299"/>
      <c r="P95" s="299"/>
      <c r="Q95" s="299"/>
      <c r="R95" s="299"/>
      <c r="S95" s="299"/>
      <c r="T95" s="299"/>
    </row>
    <row r="96" spans="2:20" x14ac:dyDescent="0.3">
      <c r="B96" s="299"/>
      <c r="C96" s="299"/>
      <c r="D96" s="299"/>
      <c r="E96" s="299"/>
      <c r="F96" s="299"/>
      <c r="G96" s="299"/>
      <c r="H96" s="299"/>
      <c r="I96" s="299"/>
      <c r="J96" s="299"/>
      <c r="K96" s="299"/>
      <c r="L96" s="299"/>
      <c r="M96" s="299"/>
      <c r="N96" s="299"/>
      <c r="O96" s="299"/>
      <c r="P96" s="299"/>
      <c r="Q96" s="299"/>
      <c r="R96" s="299"/>
      <c r="S96" s="299"/>
      <c r="T96" s="299"/>
    </row>
    <row r="97" spans="2:20" x14ac:dyDescent="0.3">
      <c r="B97" s="299"/>
      <c r="C97" s="299"/>
      <c r="D97" s="299"/>
      <c r="E97" s="299"/>
      <c r="F97" s="299"/>
      <c r="G97" s="299"/>
      <c r="H97" s="299"/>
      <c r="I97" s="299"/>
      <c r="J97" s="299"/>
      <c r="K97" s="299"/>
      <c r="L97" s="299"/>
      <c r="M97" s="299"/>
      <c r="N97" s="299"/>
      <c r="O97" s="299"/>
      <c r="P97" s="299"/>
      <c r="Q97" s="299"/>
      <c r="R97" s="299"/>
      <c r="S97" s="299"/>
      <c r="T97" s="299"/>
    </row>
    <row r="98" spans="2:20" x14ac:dyDescent="0.3">
      <c r="B98" s="299"/>
      <c r="C98" s="299"/>
      <c r="D98" s="299"/>
      <c r="E98" s="299"/>
      <c r="F98" s="299"/>
      <c r="G98" s="299"/>
      <c r="H98" s="299"/>
      <c r="I98" s="299"/>
      <c r="J98" s="299"/>
      <c r="K98" s="299"/>
      <c r="L98" s="299"/>
      <c r="M98" s="299"/>
      <c r="N98" s="299"/>
      <c r="O98" s="299"/>
      <c r="P98" s="299"/>
      <c r="Q98" s="299"/>
      <c r="R98" s="299"/>
      <c r="S98" s="299"/>
      <c r="T98" s="299"/>
    </row>
    <row r="99" spans="2:20" x14ac:dyDescent="0.3">
      <c r="B99" s="299"/>
      <c r="C99" s="299"/>
      <c r="D99" s="299"/>
      <c r="E99" s="299"/>
      <c r="F99" s="299"/>
      <c r="G99" s="299"/>
      <c r="H99" s="299"/>
      <c r="I99" s="299"/>
      <c r="J99" s="299"/>
      <c r="K99" s="299"/>
      <c r="L99" s="299"/>
      <c r="M99" s="299"/>
      <c r="N99" s="299"/>
      <c r="O99" s="299"/>
      <c r="P99" s="299"/>
      <c r="Q99" s="299"/>
      <c r="R99" s="299"/>
      <c r="S99" s="299"/>
      <c r="T99" s="299"/>
    </row>
  </sheetData>
  <mergeCells count="15">
    <mergeCell ref="B2:D2"/>
    <mergeCell ref="E2:L2"/>
    <mergeCell ref="M2:O2"/>
    <mergeCell ref="P2:T2"/>
    <mergeCell ref="B3:D3"/>
    <mergeCell ref="E3:L3"/>
    <mergeCell ref="M3:O3"/>
    <mergeCell ref="P3:T3"/>
    <mergeCell ref="B58:T58"/>
    <mergeCell ref="B59:T99"/>
    <mergeCell ref="B4:T4"/>
    <mergeCell ref="B5:T9"/>
    <mergeCell ref="B11:T13"/>
    <mergeCell ref="B15:T15"/>
    <mergeCell ref="B16:T56"/>
  </mergeCells>
  <phoneticPr fontId="45" type="noConversion"/>
  <pageMargins left="0.7" right="0.7" top="0.75" bottom="0.75" header="0.51180555555555496" footer="0.51180555555555496"/>
  <pageSetup paperSize="9" firstPageNumber="0" orientation="portrait" horizontalDpi="300" verticalDpi="30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31"/>
  <sheetViews>
    <sheetView zoomScale="85" zoomScaleNormal="85" workbookViewId="0">
      <selection activeCell="B4" sqref="B4"/>
    </sheetView>
  </sheetViews>
  <sheetFormatPr defaultRowHeight="16.5" x14ac:dyDescent="0.3"/>
  <cols>
    <col min="1" max="1" width="3.375" customWidth="1"/>
    <col min="2" max="1025" width="9" customWidth="1"/>
  </cols>
  <sheetData>
    <row r="2" spans="2:20" ht="24.95" customHeight="1" x14ac:dyDescent="0.3">
      <c r="B2" s="236" t="s">
        <v>0</v>
      </c>
      <c r="C2" s="236"/>
      <c r="D2" s="236"/>
      <c r="E2" s="237" t="s">
        <v>1</v>
      </c>
      <c r="F2" s="237"/>
      <c r="G2" s="237"/>
      <c r="H2" s="237"/>
      <c r="I2" s="237"/>
      <c r="J2" s="237"/>
      <c r="K2" s="237"/>
      <c r="L2" s="237"/>
      <c r="M2" s="238" t="s">
        <v>2</v>
      </c>
      <c r="N2" s="238"/>
      <c r="O2" s="238"/>
      <c r="P2" s="374" t="str">
        <f>'00_팀프로젝트_큰틀'!P2</f>
        <v>홍길순</v>
      </c>
      <c r="Q2" s="374"/>
      <c r="R2" s="374"/>
      <c r="S2" s="374"/>
      <c r="T2" s="374"/>
    </row>
    <row r="3" spans="2:20" ht="24.95" customHeight="1" x14ac:dyDescent="0.3">
      <c r="B3" s="240" t="s">
        <v>4</v>
      </c>
      <c r="C3" s="240"/>
      <c r="D3" s="240"/>
      <c r="E3" s="241" t="s">
        <v>5</v>
      </c>
      <c r="F3" s="241"/>
      <c r="G3" s="241"/>
      <c r="H3" s="241"/>
      <c r="I3" s="241"/>
      <c r="J3" s="241"/>
      <c r="K3" s="241"/>
      <c r="L3" s="241"/>
      <c r="M3" s="242" t="s">
        <v>6</v>
      </c>
      <c r="N3" s="242"/>
      <c r="O3" s="242"/>
      <c r="P3" s="375">
        <v>44806</v>
      </c>
      <c r="Q3" s="375"/>
      <c r="R3" s="375"/>
      <c r="S3" s="375"/>
      <c r="T3" s="375"/>
    </row>
    <row r="4" spans="2:20" ht="24.95" customHeight="1" x14ac:dyDescent="0.3">
      <c r="B4" s="361" t="s">
        <v>61</v>
      </c>
      <c r="C4" s="361"/>
      <c r="D4" s="361"/>
      <c r="E4" s="361"/>
      <c r="F4" s="361"/>
      <c r="G4" s="361"/>
      <c r="H4" s="361"/>
      <c r="I4" s="361"/>
      <c r="J4" s="361"/>
      <c r="K4" s="361"/>
      <c r="L4" s="361"/>
      <c r="M4" s="361"/>
      <c r="N4" s="361"/>
      <c r="O4" s="361"/>
      <c r="P4" s="361"/>
      <c r="Q4" s="361"/>
      <c r="R4" s="361"/>
      <c r="S4" s="361"/>
      <c r="T4" s="361"/>
    </row>
    <row r="5" spans="2:20" ht="24.95" customHeight="1" x14ac:dyDescent="0.3">
      <c r="B5" s="395" t="s">
        <v>708</v>
      </c>
      <c r="C5" s="395"/>
      <c r="D5" s="395"/>
      <c r="E5" s="395"/>
      <c r="F5" s="395"/>
      <c r="G5" s="395"/>
      <c r="H5" s="395"/>
      <c r="I5" s="395"/>
      <c r="J5" s="395"/>
      <c r="K5" s="395"/>
      <c r="L5" s="395"/>
      <c r="M5" s="395"/>
      <c r="N5" s="395"/>
      <c r="O5" s="395"/>
      <c r="P5" s="395"/>
      <c r="Q5" s="395"/>
      <c r="R5" s="395"/>
      <c r="S5" s="395"/>
      <c r="T5" s="395"/>
    </row>
    <row r="6" spans="2:20" ht="39.950000000000003" customHeight="1" x14ac:dyDescent="0.3">
      <c r="B6" s="395"/>
      <c r="C6" s="395"/>
      <c r="D6" s="395"/>
      <c r="E6" s="395"/>
      <c r="F6" s="395"/>
      <c r="G6" s="395"/>
      <c r="H6" s="395"/>
      <c r="I6" s="395"/>
      <c r="J6" s="395"/>
      <c r="K6" s="395"/>
      <c r="L6" s="395"/>
      <c r="M6" s="395"/>
      <c r="N6" s="395"/>
      <c r="O6" s="395"/>
      <c r="P6" s="395"/>
      <c r="Q6" s="395"/>
      <c r="R6" s="395"/>
      <c r="S6" s="395"/>
      <c r="T6" s="395"/>
    </row>
    <row r="7" spans="2:20" ht="39.950000000000003" customHeight="1" x14ac:dyDescent="0.3">
      <c r="B7" s="395"/>
      <c r="C7" s="395"/>
      <c r="D7" s="395"/>
      <c r="E7" s="395"/>
      <c r="F7" s="395"/>
      <c r="G7" s="395"/>
      <c r="H7" s="395"/>
      <c r="I7" s="395"/>
      <c r="J7" s="395"/>
      <c r="K7" s="395"/>
      <c r="L7" s="395"/>
      <c r="M7" s="395"/>
      <c r="N7" s="395"/>
      <c r="O7" s="395"/>
      <c r="P7" s="395"/>
      <c r="Q7" s="395"/>
      <c r="R7" s="395"/>
      <c r="S7" s="395"/>
      <c r="T7" s="395"/>
    </row>
    <row r="8" spans="2:20" ht="39.950000000000003" customHeight="1" x14ac:dyDescent="0.3">
      <c r="B8" s="395"/>
      <c r="C8" s="395"/>
      <c r="D8" s="395"/>
      <c r="E8" s="395"/>
      <c r="F8" s="395"/>
      <c r="G8" s="395"/>
      <c r="H8" s="395"/>
      <c r="I8" s="395"/>
      <c r="J8" s="395"/>
      <c r="K8" s="395"/>
      <c r="L8" s="395"/>
      <c r="M8" s="395"/>
      <c r="N8" s="395"/>
      <c r="O8" s="395"/>
      <c r="P8" s="395"/>
      <c r="Q8" s="395"/>
      <c r="R8" s="395"/>
      <c r="S8" s="395"/>
      <c r="T8" s="395"/>
    </row>
    <row r="9" spans="2:20" ht="24.95" customHeight="1" x14ac:dyDescent="0.3">
      <c r="B9" s="361" t="s">
        <v>7</v>
      </c>
      <c r="C9" s="361"/>
      <c r="D9" s="361"/>
      <c r="E9" s="361"/>
      <c r="F9" s="361"/>
      <c r="G9" s="361"/>
      <c r="H9" s="361"/>
      <c r="I9" s="361"/>
      <c r="J9" s="361"/>
      <c r="K9" s="361"/>
      <c r="L9" s="361"/>
      <c r="M9" s="361"/>
      <c r="N9" s="361"/>
      <c r="O9" s="361"/>
      <c r="P9" s="361"/>
      <c r="Q9" s="361"/>
      <c r="R9" s="361"/>
      <c r="S9" s="361"/>
      <c r="T9" s="361"/>
    </row>
    <row r="10" spans="2:20" ht="39.950000000000003" customHeight="1" x14ac:dyDescent="0.3">
      <c r="B10" s="390" t="s">
        <v>709</v>
      </c>
      <c r="C10" s="390"/>
      <c r="D10" s="390"/>
      <c r="E10" s="390"/>
      <c r="F10" s="390"/>
      <c r="G10" s="390"/>
      <c r="H10" s="390"/>
      <c r="I10" s="390"/>
      <c r="J10" s="390"/>
      <c r="K10" s="390"/>
      <c r="L10" s="390"/>
      <c r="M10" s="390"/>
      <c r="N10" s="390"/>
      <c r="O10" s="390"/>
      <c r="P10" s="390"/>
      <c r="Q10" s="390"/>
      <c r="R10" s="390"/>
      <c r="S10" s="390"/>
      <c r="T10" s="390"/>
    </row>
    <row r="11" spans="2:20" ht="39.950000000000003" customHeight="1" x14ac:dyDescent="0.3">
      <c r="B11" s="390"/>
      <c r="C11" s="390"/>
      <c r="D11" s="390"/>
      <c r="E11" s="390"/>
      <c r="F11" s="390"/>
      <c r="G11" s="390"/>
      <c r="H11" s="390"/>
      <c r="I11" s="390"/>
      <c r="J11" s="390"/>
      <c r="K11" s="390"/>
      <c r="L11" s="390"/>
      <c r="M11" s="390"/>
      <c r="N11" s="390"/>
      <c r="O11" s="390"/>
      <c r="P11" s="390"/>
      <c r="Q11" s="390"/>
      <c r="R11" s="390"/>
      <c r="S11" s="390"/>
      <c r="T11" s="390"/>
    </row>
    <row r="12" spans="2:20" ht="39.950000000000003" customHeight="1" x14ac:dyDescent="0.3">
      <c r="B12" s="37"/>
      <c r="C12" s="37"/>
      <c r="D12" s="37"/>
      <c r="E12" s="37"/>
      <c r="F12" s="37"/>
      <c r="G12" s="37"/>
      <c r="H12" s="37"/>
      <c r="I12" s="37"/>
      <c r="J12" s="37"/>
      <c r="K12" s="37"/>
      <c r="L12" s="37"/>
      <c r="M12" s="37"/>
      <c r="N12" s="37"/>
      <c r="O12" s="37"/>
      <c r="P12" s="37"/>
      <c r="Q12" s="37"/>
      <c r="R12" s="37"/>
      <c r="S12" s="37"/>
      <c r="T12" s="37"/>
    </row>
    <row r="14" spans="2:20" ht="30" customHeight="1" x14ac:dyDescent="0.3">
      <c r="B14" s="255" t="s">
        <v>710</v>
      </c>
      <c r="C14" s="255"/>
      <c r="D14" s="255"/>
      <c r="E14" s="255"/>
      <c r="F14" s="255"/>
      <c r="G14" s="255"/>
      <c r="H14" s="255"/>
      <c r="I14" s="255"/>
      <c r="J14" s="255"/>
      <c r="K14" s="255"/>
      <c r="L14" s="255"/>
      <c r="M14" s="255"/>
      <c r="N14" s="255"/>
      <c r="O14" s="255"/>
      <c r="P14" s="255"/>
      <c r="Q14" s="255"/>
      <c r="R14" s="255"/>
      <c r="S14" s="255"/>
      <c r="T14" s="255"/>
    </row>
    <row r="15" spans="2:20" ht="30" customHeight="1" x14ac:dyDescent="0.3">
      <c r="B15" s="255"/>
      <c r="C15" s="255"/>
      <c r="D15" s="255"/>
      <c r="E15" s="255"/>
      <c r="F15" s="255"/>
      <c r="G15" s="255"/>
      <c r="H15" s="255"/>
      <c r="I15" s="255"/>
      <c r="J15" s="255"/>
      <c r="K15" s="255"/>
      <c r="L15" s="255"/>
      <c r="M15" s="255"/>
      <c r="N15" s="255"/>
      <c r="O15" s="255"/>
      <c r="P15" s="255"/>
      <c r="Q15" s="255"/>
      <c r="R15" s="255"/>
      <c r="S15" s="255"/>
      <c r="T15" s="255"/>
    </row>
    <row r="17" ht="30" customHeight="1" x14ac:dyDescent="0.3"/>
    <row r="18" ht="30" customHeight="1" x14ac:dyDescent="0.3"/>
    <row r="19" ht="30" customHeight="1" x14ac:dyDescent="0.3"/>
    <row r="20" ht="30" customHeight="1" x14ac:dyDescent="0.3"/>
    <row r="21" ht="30" customHeight="1" x14ac:dyDescent="0.3"/>
    <row r="22" ht="30" customHeight="1" x14ac:dyDescent="0.3"/>
    <row r="23" ht="30" customHeight="1" x14ac:dyDescent="0.3"/>
    <row r="24" ht="30" customHeight="1" x14ac:dyDescent="0.3"/>
    <row r="25" ht="30" customHeight="1" x14ac:dyDescent="0.3"/>
    <row r="26" ht="30" customHeight="1" x14ac:dyDescent="0.3"/>
    <row r="27" ht="24.95" customHeight="1" x14ac:dyDescent="0.3"/>
    <row r="28" ht="24.95" customHeight="1" x14ac:dyDescent="0.3"/>
    <row r="29" ht="24.95" customHeight="1" x14ac:dyDescent="0.3"/>
    <row r="30" ht="24.95" customHeight="1" x14ac:dyDescent="0.3"/>
    <row r="31" ht="24.95" customHeight="1" x14ac:dyDescent="0.3"/>
  </sheetData>
  <mergeCells count="13">
    <mergeCell ref="B2:D2"/>
    <mergeCell ref="E2:L2"/>
    <mergeCell ref="M2:O2"/>
    <mergeCell ref="P2:T2"/>
    <mergeCell ref="B3:D3"/>
    <mergeCell ref="E3:L3"/>
    <mergeCell ref="M3:O3"/>
    <mergeCell ref="P3:T3"/>
    <mergeCell ref="B4:T4"/>
    <mergeCell ref="B5:T8"/>
    <mergeCell ref="B9:T9"/>
    <mergeCell ref="B10:T11"/>
    <mergeCell ref="B14:T15"/>
  </mergeCells>
  <phoneticPr fontId="45" type="noConversion"/>
  <pageMargins left="0.7" right="0.7" top="0.75" bottom="0.75" header="0.51180555555555496" footer="0.51180555555555496"/>
  <pageSetup paperSize="9" firstPageNumber="0" orientation="portrait" horizontalDpi="300" verticalDpi="30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45"/>
  <sheetViews>
    <sheetView zoomScale="85" zoomScaleNormal="85" workbookViewId="0">
      <selection activeCell="B4" sqref="B4"/>
    </sheetView>
  </sheetViews>
  <sheetFormatPr defaultRowHeight="16.5" x14ac:dyDescent="0.3"/>
  <cols>
    <col min="1" max="1" width="3.375" customWidth="1"/>
    <col min="2" max="1025" width="9" customWidth="1"/>
  </cols>
  <sheetData>
    <row r="2" spans="2:20" ht="24.95" customHeight="1" x14ac:dyDescent="0.3">
      <c r="B2" s="236" t="s">
        <v>0</v>
      </c>
      <c r="C2" s="236"/>
      <c r="D2" s="236"/>
      <c r="E2" s="237" t="s">
        <v>1</v>
      </c>
      <c r="F2" s="237"/>
      <c r="G2" s="237"/>
      <c r="H2" s="237"/>
      <c r="I2" s="237"/>
      <c r="J2" s="237"/>
      <c r="K2" s="237"/>
      <c r="L2" s="237"/>
      <c r="M2" s="238" t="s">
        <v>2</v>
      </c>
      <c r="N2" s="238"/>
      <c r="O2" s="238"/>
      <c r="P2" s="374" t="str">
        <f>'00_팀프로젝트_큰틀'!P2</f>
        <v>홍길순</v>
      </c>
      <c r="Q2" s="374"/>
      <c r="R2" s="374"/>
      <c r="S2" s="374"/>
      <c r="T2" s="374"/>
    </row>
    <row r="3" spans="2:20" ht="24.95" customHeight="1" x14ac:dyDescent="0.3">
      <c r="B3" s="240" t="s">
        <v>4</v>
      </c>
      <c r="C3" s="240"/>
      <c r="D3" s="240"/>
      <c r="E3" s="237" t="s">
        <v>5</v>
      </c>
      <c r="F3" s="237"/>
      <c r="G3" s="237"/>
      <c r="H3" s="237"/>
      <c r="I3" s="237"/>
      <c r="J3" s="237"/>
      <c r="K3" s="237"/>
      <c r="L3" s="237"/>
      <c r="M3" s="242" t="s">
        <v>6</v>
      </c>
      <c r="N3" s="242"/>
      <c r="O3" s="242"/>
      <c r="P3" s="375">
        <v>44806</v>
      </c>
      <c r="Q3" s="375"/>
      <c r="R3" s="375"/>
      <c r="S3" s="375"/>
      <c r="T3" s="375"/>
    </row>
    <row r="4" spans="2:20" ht="24.95" customHeight="1" x14ac:dyDescent="0.3">
      <c r="B4" s="361" t="s">
        <v>61</v>
      </c>
      <c r="C4" s="361"/>
      <c r="D4" s="361"/>
      <c r="E4" s="361"/>
      <c r="F4" s="361"/>
      <c r="G4" s="361"/>
      <c r="H4" s="361"/>
      <c r="I4" s="361"/>
      <c r="J4" s="361"/>
      <c r="K4" s="361"/>
      <c r="L4" s="361"/>
      <c r="M4" s="361"/>
      <c r="N4" s="361"/>
      <c r="O4" s="361"/>
      <c r="P4" s="361"/>
      <c r="Q4" s="361"/>
      <c r="R4" s="361"/>
      <c r="S4" s="361"/>
      <c r="T4" s="361"/>
    </row>
    <row r="5" spans="2:20" ht="24.95" customHeight="1" x14ac:dyDescent="0.3">
      <c r="B5" s="395" t="s">
        <v>708</v>
      </c>
      <c r="C5" s="395"/>
      <c r="D5" s="395"/>
      <c r="E5" s="395"/>
      <c r="F5" s="395"/>
      <c r="G5" s="395"/>
      <c r="H5" s="395"/>
      <c r="I5" s="395"/>
      <c r="J5" s="395"/>
      <c r="K5" s="395"/>
      <c r="L5" s="395"/>
      <c r="M5" s="395"/>
      <c r="N5" s="395"/>
      <c r="O5" s="395"/>
      <c r="P5" s="395"/>
      <c r="Q5" s="395"/>
      <c r="R5" s="395"/>
      <c r="S5" s="395"/>
      <c r="T5" s="395"/>
    </row>
    <row r="6" spans="2:20" ht="39.950000000000003" customHeight="1" x14ac:dyDescent="0.3">
      <c r="B6" s="395"/>
      <c r="C6" s="395"/>
      <c r="D6" s="395"/>
      <c r="E6" s="395"/>
      <c r="F6" s="395"/>
      <c r="G6" s="395"/>
      <c r="H6" s="395"/>
      <c r="I6" s="395"/>
      <c r="J6" s="395"/>
      <c r="K6" s="395"/>
      <c r="L6" s="395"/>
      <c r="M6" s="395"/>
      <c r="N6" s="395"/>
      <c r="O6" s="395"/>
      <c r="P6" s="395"/>
      <c r="Q6" s="395"/>
      <c r="R6" s="395"/>
      <c r="S6" s="395"/>
      <c r="T6" s="395"/>
    </row>
    <row r="7" spans="2:20" ht="39.950000000000003" customHeight="1" x14ac:dyDescent="0.3">
      <c r="B7" s="395"/>
      <c r="C7" s="395"/>
      <c r="D7" s="395"/>
      <c r="E7" s="395"/>
      <c r="F7" s="395"/>
      <c r="G7" s="395"/>
      <c r="H7" s="395"/>
      <c r="I7" s="395"/>
      <c r="J7" s="395"/>
      <c r="K7" s="395"/>
      <c r="L7" s="395"/>
      <c r="M7" s="395"/>
      <c r="N7" s="395"/>
      <c r="O7" s="395"/>
      <c r="P7" s="395"/>
      <c r="Q7" s="395"/>
      <c r="R7" s="395"/>
      <c r="S7" s="395"/>
      <c r="T7" s="395"/>
    </row>
    <row r="8" spans="2:20" ht="39.950000000000003" customHeight="1" x14ac:dyDescent="0.3">
      <c r="B8" s="395"/>
      <c r="C8" s="395"/>
      <c r="D8" s="395"/>
      <c r="E8" s="395"/>
      <c r="F8" s="395"/>
      <c r="G8" s="395"/>
      <c r="H8" s="395"/>
      <c r="I8" s="395"/>
      <c r="J8" s="395"/>
      <c r="K8" s="395"/>
      <c r="L8" s="395"/>
      <c r="M8" s="395"/>
      <c r="N8" s="395"/>
      <c r="O8" s="395"/>
      <c r="P8" s="395"/>
      <c r="Q8" s="395"/>
      <c r="R8" s="395"/>
      <c r="S8" s="395"/>
      <c r="T8" s="395"/>
    </row>
    <row r="9" spans="2:20" ht="24.95" customHeight="1" x14ac:dyDescent="0.3">
      <c r="B9" s="361" t="s">
        <v>7</v>
      </c>
      <c r="C9" s="361"/>
      <c r="D9" s="361"/>
      <c r="E9" s="361"/>
      <c r="F9" s="361"/>
      <c r="G9" s="361"/>
      <c r="H9" s="361"/>
      <c r="I9" s="361"/>
      <c r="J9" s="361"/>
      <c r="K9" s="361"/>
      <c r="L9" s="361"/>
      <c r="M9" s="361"/>
      <c r="N9" s="361"/>
      <c r="O9" s="361"/>
      <c r="P9" s="361"/>
      <c r="Q9" s="361"/>
      <c r="R9" s="361"/>
      <c r="S9" s="361"/>
      <c r="T9" s="361"/>
    </row>
    <row r="10" spans="2:20" ht="39.950000000000003" customHeight="1" x14ac:dyDescent="0.3">
      <c r="B10" s="390" t="s">
        <v>709</v>
      </c>
      <c r="C10" s="390"/>
      <c r="D10" s="390"/>
      <c r="E10" s="390"/>
      <c r="F10" s="390"/>
      <c r="G10" s="390"/>
      <c r="H10" s="390"/>
      <c r="I10" s="390"/>
      <c r="J10" s="390"/>
      <c r="K10" s="390"/>
      <c r="L10" s="390"/>
      <c r="M10" s="390"/>
      <c r="N10" s="390"/>
      <c r="O10" s="390"/>
      <c r="P10" s="390"/>
      <c r="Q10" s="390"/>
      <c r="R10" s="390"/>
      <c r="S10" s="390"/>
      <c r="T10" s="390"/>
    </row>
    <row r="11" spans="2:20" ht="39.950000000000003" customHeight="1" x14ac:dyDescent="0.3">
      <c r="B11" s="390"/>
      <c r="C11" s="390"/>
      <c r="D11" s="390"/>
      <c r="E11" s="390"/>
      <c r="F11" s="390"/>
      <c r="G11" s="390"/>
      <c r="H11" s="390"/>
      <c r="I11" s="390"/>
      <c r="J11" s="390"/>
      <c r="K11" s="390"/>
      <c r="L11" s="390"/>
      <c r="M11" s="390"/>
      <c r="N11" s="390"/>
      <c r="O11" s="390"/>
      <c r="P11" s="390"/>
      <c r="Q11" s="390"/>
      <c r="R11" s="390"/>
      <c r="S11" s="390"/>
      <c r="T11" s="390"/>
    </row>
    <row r="12" spans="2:20" ht="39.950000000000003" customHeight="1" x14ac:dyDescent="0.3">
      <c r="B12" s="37"/>
      <c r="C12" s="37"/>
      <c r="D12" s="37"/>
      <c r="E12" s="37"/>
      <c r="F12" s="37"/>
      <c r="G12" s="37"/>
      <c r="H12" s="37"/>
      <c r="I12" s="37"/>
      <c r="J12" s="37"/>
      <c r="K12" s="37"/>
      <c r="L12" s="37"/>
      <c r="M12" s="37"/>
      <c r="N12" s="37"/>
      <c r="O12" s="37"/>
      <c r="P12" s="37"/>
      <c r="Q12" s="37"/>
      <c r="R12" s="37"/>
      <c r="S12" s="37"/>
      <c r="T12" s="37"/>
    </row>
    <row r="14" spans="2:20" ht="30" customHeight="1" x14ac:dyDescent="0.3">
      <c r="B14" s="255" t="s">
        <v>711</v>
      </c>
      <c r="C14" s="255"/>
      <c r="D14" s="255"/>
      <c r="E14" s="255"/>
      <c r="F14" s="255"/>
      <c r="G14" s="255"/>
      <c r="H14" s="255"/>
      <c r="I14" s="255"/>
      <c r="J14" s="255"/>
      <c r="K14" s="255"/>
      <c r="L14" s="255"/>
      <c r="M14" s="255"/>
      <c r="N14" s="255"/>
      <c r="O14" s="255"/>
      <c r="P14" s="255"/>
      <c r="Q14" s="255"/>
      <c r="R14" s="255"/>
      <c r="S14" s="255"/>
      <c r="T14" s="255"/>
    </row>
    <row r="15" spans="2:20" ht="30" customHeight="1" x14ac:dyDescent="0.3">
      <c r="B15" s="255"/>
      <c r="C15" s="255"/>
      <c r="D15" s="255"/>
      <c r="E15" s="255"/>
      <c r="F15" s="255"/>
      <c r="G15" s="255"/>
      <c r="H15" s="255"/>
      <c r="I15" s="255"/>
      <c r="J15" s="255"/>
      <c r="K15" s="255"/>
      <c r="L15" s="255"/>
      <c r="M15" s="255"/>
      <c r="N15" s="255"/>
      <c r="O15" s="255"/>
      <c r="P15" s="255"/>
      <c r="Q15" s="255"/>
      <c r="R15" s="255"/>
      <c r="S15" s="255"/>
      <c r="T15" s="255"/>
    </row>
    <row r="17" spans="2:20" ht="30" customHeight="1" x14ac:dyDescent="0.3">
      <c r="B17" s="3" t="s">
        <v>15</v>
      </c>
      <c r="C17" s="256" t="s">
        <v>712</v>
      </c>
      <c r="D17" s="256"/>
      <c r="E17" s="256"/>
      <c r="F17" s="256" t="s">
        <v>713</v>
      </c>
      <c r="G17" s="256"/>
      <c r="H17" s="256"/>
      <c r="I17" s="256" t="s">
        <v>714</v>
      </c>
      <c r="J17" s="256"/>
      <c r="K17" s="256"/>
      <c r="L17" s="256"/>
      <c r="M17" s="256"/>
      <c r="N17" s="256"/>
      <c r="O17" s="256"/>
      <c r="P17" s="256"/>
      <c r="Q17" s="396" t="s">
        <v>715</v>
      </c>
      <c r="R17" s="396"/>
      <c r="S17" s="396"/>
      <c r="T17" s="396"/>
    </row>
    <row r="18" spans="2:20" ht="60" customHeight="1" x14ac:dyDescent="0.3">
      <c r="B18" s="4">
        <v>1</v>
      </c>
      <c r="C18" s="248" t="s">
        <v>298</v>
      </c>
      <c r="D18" s="248"/>
      <c r="E18" s="248"/>
      <c r="F18" s="248" t="s">
        <v>716</v>
      </c>
      <c r="G18" s="248"/>
      <c r="H18" s="248"/>
      <c r="I18" s="247" t="s">
        <v>717</v>
      </c>
      <c r="J18" s="247"/>
      <c r="K18" s="247"/>
      <c r="L18" s="247"/>
      <c r="M18" s="247"/>
      <c r="N18" s="247"/>
      <c r="O18" s="247"/>
      <c r="P18" s="247"/>
      <c r="Q18" s="249"/>
      <c r="R18" s="249"/>
      <c r="S18" s="249"/>
      <c r="T18" s="249"/>
    </row>
    <row r="19" spans="2:20" ht="60" customHeight="1" x14ac:dyDescent="0.3">
      <c r="B19" s="4">
        <v>2</v>
      </c>
      <c r="C19" s="248" t="s">
        <v>298</v>
      </c>
      <c r="D19" s="248"/>
      <c r="E19" s="248"/>
      <c r="F19" s="248" t="s">
        <v>716</v>
      </c>
      <c r="G19" s="248"/>
      <c r="H19" s="248"/>
      <c r="I19" s="247" t="s">
        <v>717</v>
      </c>
      <c r="J19" s="247"/>
      <c r="K19" s="247"/>
      <c r="L19" s="247"/>
      <c r="M19" s="247"/>
      <c r="N19" s="247"/>
      <c r="O19" s="247"/>
      <c r="P19" s="247"/>
      <c r="Q19" s="249"/>
      <c r="R19" s="249"/>
      <c r="S19" s="249"/>
      <c r="T19" s="249"/>
    </row>
    <row r="20" spans="2:20" ht="60" customHeight="1" x14ac:dyDescent="0.3">
      <c r="B20" s="4">
        <v>3</v>
      </c>
      <c r="C20" s="248" t="s">
        <v>298</v>
      </c>
      <c r="D20" s="248"/>
      <c r="E20" s="248"/>
      <c r="F20" s="248" t="s">
        <v>716</v>
      </c>
      <c r="G20" s="248"/>
      <c r="H20" s="248"/>
      <c r="I20" s="247" t="s">
        <v>717</v>
      </c>
      <c r="J20" s="247"/>
      <c r="K20" s="247"/>
      <c r="L20" s="247"/>
      <c r="M20" s="247"/>
      <c r="N20" s="247"/>
      <c r="O20" s="247"/>
      <c r="P20" s="247"/>
      <c r="Q20" s="249"/>
      <c r="R20" s="249"/>
      <c r="S20" s="249"/>
      <c r="T20" s="249"/>
    </row>
    <row r="21" spans="2:20" ht="60" customHeight="1" x14ac:dyDescent="0.3">
      <c r="B21" s="4">
        <v>4</v>
      </c>
      <c r="C21" s="248" t="s">
        <v>298</v>
      </c>
      <c r="D21" s="248"/>
      <c r="E21" s="248"/>
      <c r="F21" s="248" t="s">
        <v>716</v>
      </c>
      <c r="G21" s="248"/>
      <c r="H21" s="248"/>
      <c r="I21" s="247" t="s">
        <v>717</v>
      </c>
      <c r="J21" s="247"/>
      <c r="K21" s="247"/>
      <c r="L21" s="247"/>
      <c r="M21" s="247"/>
      <c r="N21" s="247"/>
      <c r="O21" s="247"/>
      <c r="P21" s="247"/>
      <c r="Q21" s="249"/>
      <c r="R21" s="249"/>
      <c r="S21" s="249"/>
      <c r="T21" s="249"/>
    </row>
    <row r="22" spans="2:20" ht="60" customHeight="1" x14ac:dyDescent="0.3">
      <c r="B22" s="4">
        <v>5</v>
      </c>
      <c r="C22" s="248" t="s">
        <v>298</v>
      </c>
      <c r="D22" s="248"/>
      <c r="E22" s="248"/>
      <c r="F22" s="248" t="s">
        <v>716</v>
      </c>
      <c r="G22" s="248"/>
      <c r="H22" s="248"/>
      <c r="I22" s="247" t="s">
        <v>717</v>
      </c>
      <c r="J22" s="247"/>
      <c r="K22" s="247"/>
      <c r="L22" s="247"/>
      <c r="M22" s="247"/>
      <c r="N22" s="247"/>
      <c r="O22" s="247"/>
      <c r="P22" s="247"/>
      <c r="Q22" s="249"/>
      <c r="R22" s="249"/>
      <c r="S22" s="249"/>
      <c r="T22" s="249"/>
    </row>
    <row r="23" spans="2:20" ht="60" customHeight="1" x14ac:dyDescent="0.3">
      <c r="B23" s="4">
        <v>6</v>
      </c>
      <c r="C23" s="248" t="s">
        <v>298</v>
      </c>
      <c r="D23" s="248"/>
      <c r="E23" s="248"/>
      <c r="F23" s="248" t="s">
        <v>716</v>
      </c>
      <c r="G23" s="248"/>
      <c r="H23" s="248"/>
      <c r="I23" s="247" t="s">
        <v>717</v>
      </c>
      <c r="J23" s="247"/>
      <c r="K23" s="247"/>
      <c r="L23" s="247"/>
      <c r="M23" s="247"/>
      <c r="N23" s="247"/>
      <c r="O23" s="247"/>
      <c r="P23" s="247"/>
      <c r="Q23" s="249"/>
      <c r="R23" s="249"/>
      <c r="S23" s="249"/>
      <c r="T23" s="249"/>
    </row>
    <row r="24" spans="2:20" ht="60" customHeight="1" x14ac:dyDescent="0.3">
      <c r="B24" s="4">
        <v>7</v>
      </c>
      <c r="C24" s="248" t="s">
        <v>298</v>
      </c>
      <c r="D24" s="248"/>
      <c r="E24" s="248"/>
      <c r="F24" s="248" t="s">
        <v>716</v>
      </c>
      <c r="G24" s="248"/>
      <c r="H24" s="248"/>
      <c r="I24" s="247" t="s">
        <v>717</v>
      </c>
      <c r="J24" s="247"/>
      <c r="K24" s="247"/>
      <c r="L24" s="247"/>
      <c r="M24" s="247"/>
      <c r="N24" s="247"/>
      <c r="O24" s="247"/>
      <c r="P24" s="247"/>
      <c r="Q24" s="249"/>
      <c r="R24" s="249"/>
      <c r="S24" s="249"/>
      <c r="T24" s="249"/>
    </row>
    <row r="25" spans="2:20" ht="60" customHeight="1" x14ac:dyDescent="0.3">
      <c r="B25" s="4">
        <v>8</v>
      </c>
      <c r="C25" s="248" t="s">
        <v>298</v>
      </c>
      <c r="D25" s="248"/>
      <c r="E25" s="248"/>
      <c r="F25" s="248" t="s">
        <v>716</v>
      </c>
      <c r="G25" s="248"/>
      <c r="H25" s="248"/>
      <c r="I25" s="247" t="s">
        <v>717</v>
      </c>
      <c r="J25" s="247"/>
      <c r="K25" s="247"/>
      <c r="L25" s="247"/>
      <c r="M25" s="247"/>
      <c r="N25" s="247"/>
      <c r="O25" s="247"/>
      <c r="P25" s="247"/>
      <c r="Q25" s="249"/>
      <c r="R25" s="249"/>
      <c r="S25" s="249"/>
      <c r="T25" s="249"/>
    </row>
    <row r="26" spans="2:20" ht="60" customHeight="1" x14ac:dyDescent="0.3">
      <c r="B26" s="4">
        <v>9</v>
      </c>
      <c r="C26" s="248" t="s">
        <v>298</v>
      </c>
      <c r="D26" s="248"/>
      <c r="E26" s="248"/>
      <c r="F26" s="248" t="s">
        <v>716</v>
      </c>
      <c r="G26" s="248"/>
      <c r="H26" s="248"/>
      <c r="I26" s="247" t="s">
        <v>717</v>
      </c>
      <c r="J26" s="247"/>
      <c r="K26" s="247"/>
      <c r="L26" s="247"/>
      <c r="M26" s="247"/>
      <c r="N26" s="247"/>
      <c r="O26" s="247"/>
      <c r="P26" s="247"/>
      <c r="Q26" s="249"/>
      <c r="R26" s="249"/>
      <c r="S26" s="249"/>
      <c r="T26" s="249"/>
    </row>
    <row r="27" spans="2:20" ht="60" customHeight="1" x14ac:dyDescent="0.3">
      <c r="B27" s="4">
        <v>10</v>
      </c>
      <c r="C27" s="248" t="s">
        <v>298</v>
      </c>
      <c r="D27" s="248"/>
      <c r="E27" s="248"/>
      <c r="F27" s="248" t="s">
        <v>716</v>
      </c>
      <c r="G27" s="248"/>
      <c r="H27" s="248"/>
      <c r="I27" s="247" t="s">
        <v>717</v>
      </c>
      <c r="J27" s="247"/>
      <c r="K27" s="247"/>
      <c r="L27" s="247"/>
      <c r="M27" s="247"/>
      <c r="N27" s="247"/>
      <c r="O27" s="247"/>
      <c r="P27" s="247"/>
      <c r="Q27" s="249"/>
      <c r="R27" s="249"/>
      <c r="S27" s="249"/>
      <c r="T27" s="249"/>
    </row>
    <row r="28" spans="2:20" ht="60" customHeight="1" x14ac:dyDescent="0.3">
      <c r="B28" s="4">
        <v>11</v>
      </c>
      <c r="C28" s="248" t="s">
        <v>298</v>
      </c>
      <c r="D28" s="248"/>
      <c r="E28" s="248"/>
      <c r="F28" s="248" t="s">
        <v>716</v>
      </c>
      <c r="G28" s="248"/>
      <c r="H28" s="248"/>
      <c r="I28" s="247" t="s">
        <v>717</v>
      </c>
      <c r="J28" s="247"/>
      <c r="K28" s="247"/>
      <c r="L28" s="247"/>
      <c r="M28" s="247"/>
      <c r="N28" s="247"/>
      <c r="O28" s="247"/>
      <c r="P28" s="247"/>
      <c r="Q28" s="249"/>
      <c r="R28" s="249"/>
      <c r="S28" s="249"/>
      <c r="T28" s="249"/>
    </row>
    <row r="29" spans="2:20" ht="60" customHeight="1" x14ac:dyDescent="0.3">
      <c r="B29" s="28">
        <v>12</v>
      </c>
      <c r="C29" s="245" t="s">
        <v>298</v>
      </c>
      <c r="D29" s="245"/>
      <c r="E29" s="245"/>
      <c r="F29" s="245" t="s">
        <v>716</v>
      </c>
      <c r="G29" s="245"/>
      <c r="H29" s="245"/>
      <c r="I29" s="244" t="s">
        <v>717</v>
      </c>
      <c r="J29" s="244"/>
      <c r="K29" s="244"/>
      <c r="L29" s="244"/>
      <c r="M29" s="244"/>
      <c r="N29" s="244"/>
      <c r="O29" s="244"/>
      <c r="P29" s="244"/>
      <c r="Q29" s="246"/>
      <c r="R29" s="246"/>
      <c r="S29" s="246"/>
      <c r="T29" s="246"/>
    </row>
    <row r="30" spans="2:20" ht="30" customHeight="1" x14ac:dyDescent="0.3"/>
    <row r="31" spans="2:20" ht="30" customHeight="1" x14ac:dyDescent="0.3"/>
    <row r="32" spans="2:20" ht="30" customHeight="1" x14ac:dyDescent="0.3"/>
    <row r="33" ht="30" customHeight="1" x14ac:dyDescent="0.3"/>
    <row r="34" ht="30" customHeight="1" x14ac:dyDescent="0.3"/>
    <row r="35" ht="30" customHeight="1" x14ac:dyDescent="0.3"/>
    <row r="36" ht="30" customHeight="1" x14ac:dyDescent="0.3"/>
    <row r="37" ht="30" customHeight="1" x14ac:dyDescent="0.3"/>
    <row r="38" ht="30" customHeight="1" x14ac:dyDescent="0.3"/>
    <row r="39" ht="30" customHeight="1" x14ac:dyDescent="0.3"/>
    <row r="40" ht="30" customHeight="1" x14ac:dyDescent="0.3"/>
    <row r="41" ht="24.95" customHeight="1" x14ac:dyDescent="0.3"/>
    <row r="42" ht="24.95" customHeight="1" x14ac:dyDescent="0.3"/>
    <row r="43" ht="24.95" customHeight="1" x14ac:dyDescent="0.3"/>
    <row r="44" ht="24.95" customHeight="1" x14ac:dyDescent="0.3"/>
    <row r="45" ht="24.95" customHeight="1" x14ac:dyDescent="0.3"/>
  </sheetData>
  <mergeCells count="65">
    <mergeCell ref="B2:D2"/>
    <mergeCell ref="E2:L2"/>
    <mergeCell ref="M2:O2"/>
    <mergeCell ref="P2:T2"/>
    <mergeCell ref="B3:D3"/>
    <mergeCell ref="E3:L3"/>
    <mergeCell ref="M3:O3"/>
    <mergeCell ref="P3:T3"/>
    <mergeCell ref="B4:T4"/>
    <mergeCell ref="B5:T8"/>
    <mergeCell ref="B9:T9"/>
    <mergeCell ref="B10:T11"/>
    <mergeCell ref="B14:T15"/>
    <mergeCell ref="C17:E17"/>
    <mergeCell ref="F17:H17"/>
    <mergeCell ref="I17:P17"/>
    <mergeCell ref="Q17:T17"/>
    <mergeCell ref="C18:E18"/>
    <mergeCell ref="F18:H18"/>
    <mergeCell ref="I18:P18"/>
    <mergeCell ref="Q18:T18"/>
    <mergeCell ref="C19:E19"/>
    <mergeCell ref="F19:H19"/>
    <mergeCell ref="I19:P19"/>
    <mergeCell ref="Q19:T19"/>
    <mergeCell ref="C20:E20"/>
    <mergeCell ref="F20:H20"/>
    <mergeCell ref="I20:P20"/>
    <mergeCell ref="Q20:T20"/>
    <mergeCell ref="C21:E21"/>
    <mergeCell ref="F21:H21"/>
    <mergeCell ref="I21:P21"/>
    <mergeCell ref="Q21:T21"/>
    <mergeCell ref="C22:E22"/>
    <mergeCell ref="F22:H22"/>
    <mergeCell ref="I22:P22"/>
    <mergeCell ref="Q22:T22"/>
    <mergeCell ref="C23:E23"/>
    <mergeCell ref="F23:H23"/>
    <mergeCell ref="I23:P23"/>
    <mergeCell ref="Q23:T23"/>
    <mergeCell ref="C24:E24"/>
    <mergeCell ref="F24:H24"/>
    <mergeCell ref="I24:P24"/>
    <mergeCell ref="Q24:T24"/>
    <mergeCell ref="C25:E25"/>
    <mergeCell ref="F25:H25"/>
    <mergeCell ref="I25:P25"/>
    <mergeCell ref="Q25:T25"/>
    <mergeCell ref="C26:E26"/>
    <mergeCell ref="F26:H26"/>
    <mergeCell ref="I26:P26"/>
    <mergeCell ref="Q26:T26"/>
    <mergeCell ref="C29:E29"/>
    <mergeCell ref="F29:H29"/>
    <mergeCell ref="I29:P29"/>
    <mergeCell ref="Q29:T29"/>
    <mergeCell ref="C27:E27"/>
    <mergeCell ref="F27:H27"/>
    <mergeCell ref="I27:P27"/>
    <mergeCell ref="Q27:T27"/>
    <mergeCell ref="C28:E28"/>
    <mergeCell ref="F28:H28"/>
    <mergeCell ref="I28:P28"/>
    <mergeCell ref="Q28:T28"/>
  </mergeCells>
  <phoneticPr fontId="45" type="noConversion"/>
  <pageMargins left="0.7" right="0.7" top="0.75" bottom="0.75" header="0.51180555555555496" footer="0.51180555555555496"/>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79"/>
  <sheetViews>
    <sheetView zoomScale="85" zoomScaleNormal="85" workbookViewId="0">
      <selection activeCell="B4" sqref="B4"/>
    </sheetView>
  </sheetViews>
  <sheetFormatPr defaultRowHeight="16.5" x14ac:dyDescent="0.3"/>
  <cols>
    <col min="1" max="1" width="3.375" customWidth="1"/>
    <col min="2" max="1025" width="9" customWidth="1"/>
  </cols>
  <sheetData>
    <row r="2" spans="2:20" ht="24.95" customHeight="1" x14ac:dyDescent="0.3">
      <c r="B2" s="391" t="s">
        <v>0</v>
      </c>
      <c r="C2" s="391"/>
      <c r="D2" s="391"/>
      <c r="E2" s="392" t="s">
        <v>1</v>
      </c>
      <c r="F2" s="392"/>
      <c r="G2" s="392"/>
      <c r="H2" s="392"/>
      <c r="I2" s="392"/>
      <c r="J2" s="392"/>
      <c r="K2" s="392"/>
      <c r="L2" s="392"/>
      <c r="M2" s="393" t="s">
        <v>2</v>
      </c>
      <c r="N2" s="393"/>
      <c r="O2" s="393"/>
      <c r="P2" s="394" t="str">
        <f>'00_팀프로젝트_큰틀'!P2</f>
        <v>홍길순</v>
      </c>
      <c r="Q2" s="394"/>
      <c r="R2" s="394"/>
      <c r="S2" s="394"/>
      <c r="T2" s="394"/>
    </row>
    <row r="3" spans="2:20" ht="24.95" customHeight="1" x14ac:dyDescent="0.3">
      <c r="B3" s="240" t="s">
        <v>4</v>
      </c>
      <c r="C3" s="240"/>
      <c r="D3" s="240"/>
      <c r="E3" s="241" t="s">
        <v>5</v>
      </c>
      <c r="F3" s="241"/>
      <c r="G3" s="241"/>
      <c r="H3" s="241"/>
      <c r="I3" s="241"/>
      <c r="J3" s="241"/>
      <c r="K3" s="241"/>
      <c r="L3" s="241"/>
      <c r="M3" s="242" t="s">
        <v>6</v>
      </c>
      <c r="N3" s="242"/>
      <c r="O3" s="242"/>
      <c r="P3" s="375">
        <v>44806</v>
      </c>
      <c r="Q3" s="375"/>
      <c r="R3" s="375"/>
      <c r="S3" s="375"/>
      <c r="T3" s="375"/>
    </row>
    <row r="4" spans="2:20" ht="24.95" customHeight="1" x14ac:dyDescent="0.3">
      <c r="B4" s="361" t="s">
        <v>61</v>
      </c>
      <c r="C4" s="361"/>
      <c r="D4" s="361"/>
      <c r="E4" s="361"/>
      <c r="F4" s="361"/>
      <c r="G4" s="361"/>
      <c r="H4" s="361"/>
      <c r="I4" s="361"/>
      <c r="J4" s="361"/>
      <c r="K4" s="361"/>
      <c r="L4" s="361"/>
      <c r="M4" s="361"/>
      <c r="N4" s="361"/>
      <c r="O4" s="361"/>
      <c r="P4" s="361"/>
      <c r="Q4" s="361"/>
      <c r="R4" s="361"/>
      <c r="S4" s="361"/>
      <c r="T4" s="361"/>
    </row>
    <row r="5" spans="2:20" ht="24.95" customHeight="1" x14ac:dyDescent="0.3">
      <c r="B5" s="390" t="s">
        <v>718</v>
      </c>
      <c r="C5" s="390"/>
      <c r="D5" s="390"/>
      <c r="E5" s="390"/>
      <c r="F5" s="390"/>
      <c r="G5" s="390"/>
      <c r="H5" s="390"/>
      <c r="I5" s="390"/>
      <c r="J5" s="390"/>
      <c r="K5" s="390"/>
      <c r="L5" s="390"/>
      <c r="M5" s="390"/>
      <c r="N5" s="390"/>
      <c r="O5" s="390"/>
      <c r="P5" s="390"/>
      <c r="Q5" s="390"/>
      <c r="R5" s="390"/>
      <c r="S5" s="390"/>
      <c r="T5" s="390"/>
    </row>
    <row r="6" spans="2:20" ht="39.950000000000003" customHeight="1" x14ac:dyDescent="0.3">
      <c r="B6" s="390"/>
      <c r="C6" s="390"/>
      <c r="D6" s="390"/>
      <c r="E6" s="390"/>
      <c r="F6" s="390"/>
      <c r="G6" s="390"/>
      <c r="H6" s="390"/>
      <c r="I6" s="390"/>
      <c r="J6" s="390"/>
      <c r="K6" s="390"/>
      <c r="L6" s="390"/>
      <c r="M6" s="390"/>
      <c r="N6" s="390"/>
      <c r="O6" s="390"/>
      <c r="P6" s="390"/>
      <c r="Q6" s="390"/>
      <c r="R6" s="390"/>
      <c r="S6" s="390"/>
      <c r="T6" s="390"/>
    </row>
    <row r="7" spans="2:20" ht="39.950000000000003" customHeight="1" x14ac:dyDescent="0.3">
      <c r="B7" s="390"/>
      <c r="C7" s="390"/>
      <c r="D7" s="390"/>
      <c r="E7" s="390"/>
      <c r="F7" s="390"/>
      <c r="G7" s="390"/>
      <c r="H7" s="390"/>
      <c r="I7" s="390"/>
      <c r="J7" s="390"/>
      <c r="K7" s="390"/>
      <c r="L7" s="390"/>
      <c r="M7" s="390"/>
      <c r="N7" s="390"/>
      <c r="O7" s="390"/>
      <c r="P7" s="390"/>
      <c r="Q7" s="390"/>
      <c r="R7" s="390"/>
      <c r="S7" s="390"/>
      <c r="T7" s="390"/>
    </row>
    <row r="8" spans="2:20" ht="39.950000000000003" customHeight="1" x14ac:dyDescent="0.3">
      <c r="B8" s="390"/>
      <c r="C8" s="390"/>
      <c r="D8" s="390"/>
      <c r="E8" s="390"/>
      <c r="F8" s="390"/>
      <c r="G8" s="390"/>
      <c r="H8" s="390"/>
      <c r="I8" s="390"/>
      <c r="J8" s="390"/>
      <c r="K8" s="390"/>
      <c r="L8" s="390"/>
      <c r="M8" s="390"/>
      <c r="N8" s="390"/>
      <c r="O8" s="390"/>
      <c r="P8" s="390"/>
      <c r="Q8" s="390"/>
      <c r="R8" s="390"/>
      <c r="S8" s="390"/>
      <c r="T8" s="390"/>
    </row>
    <row r="10" spans="2:20" ht="30" customHeight="1" x14ac:dyDescent="0.3">
      <c r="B10" s="255" t="s">
        <v>719</v>
      </c>
      <c r="C10" s="255"/>
      <c r="D10" s="255"/>
      <c r="E10" s="255"/>
      <c r="F10" s="255"/>
      <c r="G10" s="255"/>
      <c r="H10" s="255"/>
      <c r="I10" s="255"/>
      <c r="J10" s="255"/>
      <c r="K10" s="255"/>
      <c r="L10" s="255"/>
      <c r="M10" s="255"/>
      <c r="N10" s="255"/>
      <c r="O10" s="255"/>
      <c r="P10" s="255"/>
      <c r="Q10" s="255"/>
      <c r="R10" s="255"/>
      <c r="S10" s="255"/>
      <c r="T10" s="255"/>
    </row>
    <row r="11" spans="2:20" ht="30" customHeight="1" x14ac:dyDescent="0.3">
      <c r="B11" s="255"/>
      <c r="C11" s="255"/>
      <c r="D11" s="255"/>
      <c r="E11" s="255"/>
      <c r="F11" s="255"/>
      <c r="G11" s="255"/>
      <c r="H11" s="255"/>
      <c r="I11" s="255"/>
      <c r="J11" s="255"/>
      <c r="K11" s="255"/>
      <c r="L11" s="255"/>
      <c r="M11" s="255"/>
      <c r="N11" s="255"/>
      <c r="O11" s="255"/>
      <c r="P11" s="255"/>
      <c r="Q11" s="255"/>
      <c r="R11" s="255"/>
      <c r="S11" s="255"/>
      <c r="T11" s="255"/>
    </row>
    <row r="13" spans="2:20" ht="30" customHeight="1" x14ac:dyDescent="0.3">
      <c r="B13" s="416" t="s">
        <v>63</v>
      </c>
      <c r="C13" s="416"/>
      <c r="D13" s="385"/>
      <c r="E13" s="385"/>
      <c r="F13" s="385"/>
      <c r="G13" s="385"/>
      <c r="H13" s="385"/>
      <c r="I13" s="385"/>
      <c r="J13" s="385"/>
      <c r="K13" s="385"/>
      <c r="L13" s="385"/>
      <c r="M13" s="385"/>
      <c r="N13" s="385"/>
      <c r="O13" s="385"/>
      <c r="P13" s="385"/>
      <c r="Q13" s="385"/>
      <c r="R13" s="385"/>
      <c r="S13" s="385"/>
      <c r="T13" s="385"/>
    </row>
    <row r="14" spans="2:20" ht="30" customHeight="1" x14ac:dyDescent="0.3">
      <c r="B14" s="417" t="s">
        <v>65</v>
      </c>
      <c r="C14" s="417"/>
      <c r="D14" s="249"/>
      <c r="E14" s="249"/>
      <c r="F14" s="249"/>
      <c r="G14" s="249"/>
      <c r="H14" s="249"/>
      <c r="I14" s="249"/>
      <c r="J14" s="249"/>
      <c r="K14" s="249"/>
      <c r="L14" s="249"/>
      <c r="M14" s="249"/>
      <c r="N14" s="249"/>
      <c r="O14" s="249"/>
      <c r="P14" s="249"/>
      <c r="Q14" s="249"/>
      <c r="R14" s="249"/>
      <c r="S14" s="249"/>
      <c r="T14" s="249"/>
    </row>
    <row r="15" spans="2:20" ht="30" customHeight="1" x14ac:dyDescent="0.3">
      <c r="B15" s="418" t="s">
        <v>67</v>
      </c>
      <c r="C15" s="418"/>
      <c r="D15" s="246"/>
      <c r="E15" s="246"/>
      <c r="F15" s="246"/>
      <c r="G15" s="246"/>
      <c r="H15" s="246"/>
      <c r="I15" s="246"/>
      <c r="J15" s="246"/>
      <c r="K15" s="246"/>
      <c r="L15" s="246"/>
      <c r="M15" s="246"/>
      <c r="N15" s="246"/>
      <c r="O15" s="246"/>
      <c r="P15" s="246"/>
      <c r="Q15" s="246"/>
      <c r="R15" s="246"/>
      <c r="S15" s="246"/>
      <c r="T15" s="246"/>
    </row>
    <row r="17" spans="2:20" ht="30" customHeight="1" x14ac:dyDescent="0.3">
      <c r="B17" s="419" t="s">
        <v>720</v>
      </c>
      <c r="C17" s="419"/>
      <c r="D17" s="419"/>
      <c r="E17" s="419"/>
      <c r="F17" s="419"/>
      <c r="G17" s="419"/>
      <c r="H17" s="419"/>
      <c r="I17" s="419"/>
      <c r="J17" s="419"/>
      <c r="K17" s="419"/>
      <c r="L17" s="419"/>
      <c r="M17" s="419"/>
      <c r="N17" s="419"/>
      <c r="O17" s="419"/>
      <c r="P17" s="419"/>
      <c r="Q17" s="419"/>
      <c r="R17" s="419"/>
      <c r="S17" s="419"/>
      <c r="T17" s="419"/>
    </row>
    <row r="18" spans="2:20" ht="30" customHeight="1" x14ac:dyDescent="0.3">
      <c r="B18" s="25"/>
      <c r="C18" s="412" t="s">
        <v>721</v>
      </c>
      <c r="D18" s="412"/>
      <c r="E18" s="412"/>
      <c r="F18" s="412"/>
      <c r="G18" s="412"/>
      <c r="H18" s="412"/>
      <c r="I18" s="412"/>
      <c r="J18" s="412"/>
      <c r="K18" s="412"/>
      <c r="L18" s="412"/>
      <c r="M18" s="412"/>
      <c r="N18" s="412"/>
      <c r="O18" s="412"/>
      <c r="P18" s="412"/>
      <c r="Q18" s="412"/>
      <c r="R18" s="412"/>
      <c r="S18" s="412"/>
      <c r="T18" s="412"/>
    </row>
    <row r="19" spans="2:20" ht="30" customHeight="1" x14ac:dyDescent="0.3">
      <c r="B19" s="25"/>
      <c r="C19" s="407" t="s">
        <v>722</v>
      </c>
      <c r="D19" s="407"/>
      <c r="E19" s="407"/>
      <c r="F19" s="407"/>
      <c r="G19" s="407"/>
      <c r="H19" s="407"/>
      <c r="I19" s="407"/>
      <c r="J19" s="407"/>
      <c r="K19" s="407"/>
      <c r="L19" s="407"/>
      <c r="M19" s="407"/>
      <c r="N19" s="407"/>
      <c r="O19" s="407"/>
      <c r="P19" s="407"/>
      <c r="Q19" s="407"/>
      <c r="R19" s="407"/>
      <c r="S19" s="407"/>
      <c r="T19" s="407"/>
    </row>
    <row r="20" spans="2:20" ht="30" customHeight="1" x14ac:dyDescent="0.3">
      <c r="B20" s="25"/>
      <c r="C20" s="407" t="s">
        <v>723</v>
      </c>
      <c r="D20" s="407"/>
      <c r="E20" s="407"/>
      <c r="F20" s="407"/>
      <c r="G20" s="407"/>
      <c r="H20" s="407"/>
      <c r="I20" s="407"/>
      <c r="J20" s="407"/>
      <c r="K20" s="407"/>
      <c r="L20" s="407"/>
      <c r="M20" s="407"/>
      <c r="N20" s="407"/>
      <c r="O20" s="407"/>
      <c r="P20" s="407"/>
      <c r="Q20" s="407"/>
      <c r="R20" s="407"/>
      <c r="S20" s="407"/>
      <c r="T20" s="407"/>
    </row>
    <row r="21" spans="2:20" ht="30" customHeight="1" x14ac:dyDescent="0.3">
      <c r="B21" s="25"/>
      <c r="C21" s="407" t="s">
        <v>724</v>
      </c>
      <c r="D21" s="407"/>
      <c r="E21" s="407"/>
      <c r="F21" s="407"/>
      <c r="G21" s="407"/>
      <c r="H21" s="407"/>
      <c r="I21" s="407"/>
      <c r="J21" s="407"/>
      <c r="K21" s="407"/>
      <c r="L21" s="407"/>
      <c r="M21" s="407"/>
      <c r="N21" s="407"/>
      <c r="O21" s="407"/>
      <c r="P21" s="407"/>
      <c r="Q21" s="407"/>
      <c r="R21" s="407"/>
      <c r="S21" s="407"/>
      <c r="T21" s="407"/>
    </row>
    <row r="22" spans="2:20" ht="30" customHeight="1" x14ac:dyDescent="0.3">
      <c r="B22" s="25"/>
      <c r="D22" s="413" t="s">
        <v>725</v>
      </c>
      <c r="E22" s="413"/>
      <c r="F22" s="413"/>
      <c r="G22" s="413"/>
      <c r="H22" s="414" t="s">
        <v>726</v>
      </c>
      <c r="I22" s="414"/>
      <c r="J22" s="414"/>
      <c r="K22" s="414"/>
      <c r="L22" s="414" t="s">
        <v>727</v>
      </c>
      <c r="M22" s="414"/>
      <c r="N22" s="414"/>
      <c r="O22" s="414"/>
      <c r="P22" s="415" t="s">
        <v>728</v>
      </c>
      <c r="Q22" s="415"/>
      <c r="R22" s="415"/>
      <c r="S22" s="415"/>
      <c r="T22" s="38"/>
    </row>
    <row r="23" spans="2:20" ht="30" customHeight="1" x14ac:dyDescent="0.3">
      <c r="B23" s="25"/>
      <c r="D23" s="357" t="s">
        <v>729</v>
      </c>
      <c r="E23" s="357"/>
      <c r="F23" s="357"/>
      <c r="G23" s="357"/>
      <c r="H23" s="245" t="s">
        <v>730</v>
      </c>
      <c r="I23" s="245"/>
      <c r="J23" s="245"/>
      <c r="K23" s="245"/>
      <c r="L23" s="248" t="s">
        <v>731</v>
      </c>
      <c r="M23" s="248"/>
      <c r="N23" s="248"/>
      <c r="O23" s="248"/>
      <c r="P23" s="249" t="s">
        <v>732</v>
      </c>
      <c r="Q23" s="249"/>
      <c r="R23" s="249"/>
      <c r="S23" s="249"/>
      <c r="T23" s="38"/>
    </row>
    <row r="24" spans="2:20" ht="30" customHeight="1" x14ac:dyDescent="0.3">
      <c r="B24" s="25"/>
      <c r="D24" s="357"/>
      <c r="E24" s="357"/>
      <c r="F24" s="357"/>
      <c r="G24" s="357"/>
      <c r="H24" s="245"/>
      <c r="I24" s="245"/>
      <c r="J24" s="245"/>
      <c r="K24" s="245"/>
      <c r="L24" s="248" t="s">
        <v>733</v>
      </c>
      <c r="M24" s="248"/>
      <c r="N24" s="248"/>
      <c r="O24" s="248"/>
      <c r="P24" s="249" t="s">
        <v>734</v>
      </c>
      <c r="Q24" s="249"/>
      <c r="R24" s="249"/>
      <c r="S24" s="249"/>
      <c r="T24" s="38"/>
    </row>
    <row r="25" spans="2:20" ht="30" customHeight="1" x14ac:dyDescent="0.3">
      <c r="B25" s="25"/>
      <c r="D25" s="357"/>
      <c r="E25" s="357"/>
      <c r="F25" s="357"/>
      <c r="G25" s="357"/>
      <c r="H25" s="245"/>
      <c r="I25" s="245"/>
      <c r="J25" s="245"/>
      <c r="K25" s="245"/>
      <c r="L25" s="248" t="s">
        <v>735</v>
      </c>
      <c r="M25" s="248"/>
      <c r="N25" s="248"/>
      <c r="O25" s="248"/>
      <c r="P25" s="249" t="s">
        <v>736</v>
      </c>
      <c r="Q25" s="249"/>
      <c r="R25" s="249"/>
      <c r="S25" s="249"/>
      <c r="T25" s="38"/>
    </row>
    <row r="26" spans="2:20" ht="30" customHeight="1" x14ac:dyDescent="0.3">
      <c r="B26" s="25"/>
      <c r="D26" s="357"/>
      <c r="E26" s="357"/>
      <c r="F26" s="357"/>
      <c r="G26" s="357"/>
      <c r="H26" s="245"/>
      <c r="I26" s="245"/>
      <c r="J26" s="245"/>
      <c r="K26" s="245"/>
      <c r="L26" s="248" t="s">
        <v>737</v>
      </c>
      <c r="M26" s="248"/>
      <c r="N26" s="248"/>
      <c r="O26" s="248"/>
      <c r="P26" s="249" t="s">
        <v>738</v>
      </c>
      <c r="Q26" s="249"/>
      <c r="R26" s="249"/>
      <c r="S26" s="249"/>
      <c r="T26" s="38"/>
    </row>
    <row r="27" spans="2:20" ht="30" customHeight="1" x14ac:dyDescent="0.3">
      <c r="B27" s="25"/>
      <c r="D27" s="357"/>
      <c r="E27" s="357"/>
      <c r="F27" s="357"/>
      <c r="G27" s="357"/>
      <c r="H27" s="245"/>
      <c r="I27" s="245"/>
      <c r="J27" s="245"/>
      <c r="K27" s="245"/>
      <c r="L27" s="245" t="s">
        <v>739</v>
      </c>
      <c r="M27" s="245"/>
      <c r="N27" s="245"/>
      <c r="O27" s="245"/>
      <c r="P27" s="246" t="s">
        <v>740</v>
      </c>
      <c r="Q27" s="246"/>
      <c r="R27" s="246"/>
      <c r="S27" s="246"/>
      <c r="T27" s="38"/>
    </row>
    <row r="28" spans="2:20" ht="24.95" customHeight="1" x14ac:dyDescent="0.3">
      <c r="B28" s="25"/>
      <c r="T28" s="38"/>
    </row>
    <row r="29" spans="2:20" ht="24.95" customHeight="1" x14ac:dyDescent="0.3">
      <c r="B29" s="411" t="s">
        <v>741</v>
      </c>
      <c r="C29" s="411"/>
      <c r="D29" s="411"/>
      <c r="E29" s="411"/>
      <c r="F29" s="411"/>
      <c r="G29" s="411"/>
      <c r="H29" s="411"/>
      <c r="I29" s="411"/>
      <c r="J29" s="411"/>
      <c r="K29" s="411"/>
      <c r="L29" s="411"/>
      <c r="M29" s="411"/>
      <c r="N29" s="411"/>
      <c r="O29" s="411"/>
      <c r="P29" s="411"/>
      <c r="Q29" s="411"/>
      <c r="R29" s="411"/>
      <c r="S29" s="411"/>
      <c r="T29" s="411"/>
    </row>
    <row r="30" spans="2:20" ht="24.95" customHeight="1" x14ac:dyDescent="0.3">
      <c r="B30" s="25"/>
      <c r="C30" s="39" t="s">
        <v>742</v>
      </c>
      <c r="D30" s="402" t="s">
        <v>743</v>
      </c>
      <c r="E30" s="402"/>
      <c r="F30" s="402"/>
      <c r="G30" s="402"/>
      <c r="H30" s="402"/>
      <c r="I30" s="402"/>
      <c r="J30" s="402"/>
      <c r="K30" s="402"/>
      <c r="L30" s="402"/>
      <c r="M30" s="402"/>
      <c r="N30" s="402"/>
      <c r="O30" s="402"/>
      <c r="P30" s="402"/>
      <c r="Q30" s="402"/>
      <c r="R30" s="402"/>
      <c r="S30" s="402"/>
      <c r="T30" s="402"/>
    </row>
    <row r="31" spans="2:20" ht="24.95" customHeight="1" x14ac:dyDescent="0.3">
      <c r="B31" s="25"/>
      <c r="C31" s="25"/>
      <c r="D31" s="313" t="s">
        <v>744</v>
      </c>
      <c r="E31" s="313"/>
      <c r="F31" s="313"/>
      <c r="G31" s="313"/>
      <c r="H31" s="313"/>
      <c r="I31" s="313"/>
      <c r="J31" s="313"/>
      <c r="K31" s="313"/>
      <c r="L31" s="313"/>
      <c r="M31" s="313"/>
      <c r="N31" s="313"/>
      <c r="O31" s="313"/>
      <c r="P31" s="313"/>
      <c r="Q31" s="313"/>
      <c r="R31" s="313"/>
      <c r="S31" s="313"/>
      <c r="T31" s="313"/>
    </row>
    <row r="32" spans="2:20" ht="24.95" customHeight="1" x14ac:dyDescent="0.3">
      <c r="B32" s="25"/>
      <c r="C32" s="25"/>
      <c r="D32" s="313" t="s">
        <v>745</v>
      </c>
      <c r="E32" s="313"/>
      <c r="F32" s="313"/>
      <c r="G32" s="313"/>
      <c r="H32" s="313"/>
      <c r="I32" s="313"/>
      <c r="J32" s="313"/>
      <c r="K32" s="313"/>
      <c r="L32" s="313"/>
      <c r="M32" s="313"/>
      <c r="N32" s="313"/>
      <c r="O32" s="313"/>
      <c r="P32" s="313"/>
      <c r="Q32" s="313"/>
      <c r="R32" s="313"/>
      <c r="S32" s="313"/>
      <c r="T32" s="313"/>
    </row>
    <row r="33" spans="2:20" ht="24.95" customHeight="1" x14ac:dyDescent="0.3">
      <c r="B33" s="25"/>
      <c r="C33" s="25"/>
      <c r="D33" s="313" t="s">
        <v>746</v>
      </c>
      <c r="E33" s="313"/>
      <c r="F33" s="313"/>
      <c r="G33" s="313"/>
      <c r="H33" s="313"/>
      <c r="I33" s="313"/>
      <c r="J33" s="313"/>
      <c r="K33" s="313"/>
      <c r="L33" s="313"/>
      <c r="M33" s="313"/>
      <c r="N33" s="313"/>
      <c r="O33" s="313"/>
      <c r="P33" s="313"/>
      <c r="Q33" s="313"/>
      <c r="R33" s="313"/>
      <c r="S33" s="313"/>
      <c r="T33" s="313"/>
    </row>
    <row r="34" spans="2:20" ht="30" customHeight="1" x14ac:dyDescent="0.3">
      <c r="B34" s="25"/>
      <c r="C34" s="40"/>
      <c r="D34" s="350" t="s">
        <v>747</v>
      </c>
      <c r="E34" s="350"/>
      <c r="F34" s="350"/>
      <c r="G34" s="350"/>
      <c r="H34" s="350"/>
      <c r="I34" s="350"/>
      <c r="J34" s="350"/>
      <c r="K34" s="350"/>
      <c r="L34" s="350"/>
      <c r="M34" s="350"/>
      <c r="N34" s="350"/>
      <c r="O34" s="350"/>
      <c r="P34" s="350"/>
      <c r="Q34" s="350"/>
      <c r="R34" s="350"/>
      <c r="S34" s="350"/>
      <c r="T34" s="350"/>
    </row>
    <row r="35" spans="2:20" ht="15" customHeight="1" x14ac:dyDescent="0.3">
      <c r="B35" s="25"/>
      <c r="D35" s="407"/>
      <c r="E35" s="407"/>
      <c r="F35" s="407"/>
      <c r="G35" s="407"/>
      <c r="H35" s="407"/>
      <c r="I35" s="407"/>
      <c r="J35" s="407"/>
      <c r="K35" s="407"/>
      <c r="L35" s="407"/>
      <c r="M35" s="407"/>
      <c r="N35" s="407"/>
      <c r="O35" s="407"/>
      <c r="P35" s="407"/>
      <c r="Q35" s="407"/>
      <c r="R35" s="407"/>
      <c r="S35" s="407"/>
      <c r="T35" s="407"/>
    </row>
    <row r="36" spans="2:20" ht="30" customHeight="1" x14ac:dyDescent="0.3">
      <c r="B36" s="25"/>
      <c r="C36" s="41" t="s">
        <v>748</v>
      </c>
      <c r="D36" s="42" t="s">
        <v>749</v>
      </c>
      <c r="E36" s="402" t="s">
        <v>750</v>
      </c>
      <c r="F36" s="402"/>
      <c r="G36" s="402"/>
      <c r="H36" s="402"/>
      <c r="I36" s="402"/>
      <c r="J36" s="402"/>
      <c r="K36" s="402"/>
      <c r="L36" s="402"/>
      <c r="M36" s="402"/>
      <c r="N36" s="402"/>
      <c r="O36" s="402"/>
      <c r="P36" s="402"/>
      <c r="Q36" s="402"/>
      <c r="R36" s="402"/>
      <c r="S36" s="402"/>
      <c r="T36" s="402"/>
    </row>
    <row r="37" spans="2:20" ht="30" customHeight="1" x14ac:dyDescent="0.3">
      <c r="B37" s="25"/>
      <c r="C37" s="43"/>
      <c r="D37" s="44"/>
      <c r="E37" s="313" t="s">
        <v>751</v>
      </c>
      <c r="F37" s="313"/>
      <c r="G37" s="313"/>
      <c r="H37" s="313"/>
      <c r="I37" s="313"/>
      <c r="J37" s="313"/>
      <c r="K37" s="313"/>
      <c r="L37" s="313"/>
      <c r="M37" s="313"/>
      <c r="N37" s="313"/>
      <c r="O37" s="313"/>
      <c r="P37" s="313"/>
      <c r="Q37" s="313"/>
      <c r="R37" s="313"/>
      <c r="S37" s="313"/>
      <c r="T37" s="313"/>
    </row>
    <row r="38" spans="2:20" ht="30" customHeight="1" x14ac:dyDescent="0.3">
      <c r="B38" s="25"/>
      <c r="C38" s="43"/>
      <c r="D38" s="44"/>
      <c r="E38" s="313" t="s">
        <v>752</v>
      </c>
      <c r="F38" s="313"/>
      <c r="G38" s="313"/>
      <c r="H38" s="313"/>
      <c r="I38" s="313"/>
      <c r="J38" s="313"/>
      <c r="K38" s="313"/>
      <c r="L38" s="313"/>
      <c r="M38" s="313"/>
      <c r="N38" s="313"/>
      <c r="O38" s="313"/>
      <c r="P38" s="313"/>
      <c r="Q38" s="313"/>
      <c r="R38" s="313"/>
      <c r="S38" s="313"/>
      <c r="T38" s="313"/>
    </row>
    <row r="39" spans="2:20" ht="30" customHeight="1" x14ac:dyDescent="0.3">
      <c r="B39" s="25"/>
      <c r="C39" s="43"/>
      <c r="D39" s="44"/>
      <c r="E39" s="313" t="s">
        <v>753</v>
      </c>
      <c r="F39" s="313"/>
      <c r="G39" s="313"/>
      <c r="H39" s="313"/>
      <c r="I39" s="313"/>
      <c r="J39" s="313"/>
      <c r="K39" s="313"/>
      <c r="L39" s="313"/>
      <c r="M39" s="313"/>
      <c r="N39" s="313"/>
      <c r="O39" s="313"/>
      <c r="P39" s="313"/>
      <c r="Q39" s="313"/>
      <c r="R39" s="313"/>
      <c r="S39" s="313"/>
      <c r="T39" s="313"/>
    </row>
    <row r="40" spans="2:20" ht="30" customHeight="1" x14ac:dyDescent="0.3">
      <c r="B40" s="25"/>
      <c r="C40" s="43"/>
      <c r="D40" s="45"/>
      <c r="E40" s="313" t="s">
        <v>754</v>
      </c>
      <c r="F40" s="313"/>
      <c r="G40" s="313"/>
      <c r="H40" s="313"/>
      <c r="I40" s="313"/>
      <c r="J40" s="313"/>
      <c r="K40" s="313"/>
      <c r="L40" s="313"/>
      <c r="M40" s="313"/>
      <c r="N40" s="313"/>
      <c r="O40" s="313"/>
      <c r="P40" s="313"/>
      <c r="Q40" s="313"/>
      <c r="R40" s="313"/>
      <c r="S40" s="313"/>
      <c r="T40" s="313"/>
    </row>
    <row r="41" spans="2:20" ht="30" customHeight="1" x14ac:dyDescent="0.3">
      <c r="B41" s="25"/>
      <c r="C41" s="43"/>
      <c r="D41" s="46" t="s">
        <v>755</v>
      </c>
      <c r="E41" s="313" t="s">
        <v>756</v>
      </c>
      <c r="F41" s="313"/>
      <c r="G41" s="313"/>
      <c r="H41" s="313"/>
      <c r="I41" s="313"/>
      <c r="J41" s="313"/>
      <c r="K41" s="313"/>
      <c r="L41" s="313"/>
      <c r="M41" s="313"/>
      <c r="N41" s="313"/>
      <c r="O41" s="313"/>
      <c r="P41" s="313"/>
      <c r="Q41" s="313"/>
      <c r="R41" s="313"/>
      <c r="S41" s="313"/>
      <c r="T41" s="313"/>
    </row>
    <row r="42" spans="2:20" ht="30" customHeight="1" x14ac:dyDescent="0.3">
      <c r="B42" s="25"/>
      <c r="C42" s="43"/>
      <c r="D42" s="47"/>
      <c r="E42" s="313" t="s">
        <v>757</v>
      </c>
      <c r="F42" s="313"/>
      <c r="G42" s="313"/>
      <c r="H42" s="313"/>
      <c r="I42" s="313"/>
      <c r="J42" s="313"/>
      <c r="K42" s="313"/>
      <c r="L42" s="313"/>
      <c r="M42" s="313"/>
      <c r="N42" s="313"/>
      <c r="O42" s="313"/>
      <c r="P42" s="313"/>
      <c r="Q42" s="313"/>
      <c r="R42" s="313"/>
      <c r="S42" s="313"/>
      <c r="T42" s="313"/>
    </row>
    <row r="43" spans="2:20" ht="30" customHeight="1" x14ac:dyDescent="0.3">
      <c r="B43" s="25"/>
      <c r="C43" s="43"/>
      <c r="D43" s="46" t="s">
        <v>758</v>
      </c>
      <c r="E43" s="313" t="s">
        <v>759</v>
      </c>
      <c r="F43" s="313"/>
      <c r="G43" s="313"/>
      <c r="H43" s="313"/>
      <c r="I43" s="313"/>
      <c r="J43" s="313"/>
      <c r="K43" s="313"/>
      <c r="L43" s="313"/>
      <c r="M43" s="313"/>
      <c r="N43" s="313"/>
      <c r="O43" s="313"/>
      <c r="P43" s="313"/>
      <c r="Q43" s="313"/>
      <c r="R43" s="313"/>
      <c r="S43" s="313"/>
      <c r="T43" s="313"/>
    </row>
    <row r="44" spans="2:20" ht="30" customHeight="1" x14ac:dyDescent="0.3">
      <c r="B44" s="25"/>
      <c r="C44" s="43"/>
      <c r="D44" s="47"/>
      <c r="E44" s="313" t="s">
        <v>760</v>
      </c>
      <c r="F44" s="313"/>
      <c r="G44" s="313"/>
      <c r="H44" s="313"/>
      <c r="I44" s="313"/>
      <c r="J44" s="313"/>
      <c r="K44" s="313"/>
      <c r="L44" s="313"/>
      <c r="M44" s="313"/>
      <c r="N44" s="313"/>
      <c r="O44" s="313"/>
      <c r="P44" s="313"/>
      <c r="Q44" s="313"/>
      <c r="R44" s="313"/>
      <c r="S44" s="313"/>
      <c r="T44" s="313"/>
    </row>
    <row r="45" spans="2:20" ht="30" customHeight="1" x14ac:dyDescent="0.3">
      <c r="B45" s="25"/>
      <c r="C45" s="43"/>
      <c r="D45" s="46" t="s">
        <v>761</v>
      </c>
      <c r="E45" s="313" t="s">
        <v>759</v>
      </c>
      <c r="F45" s="313"/>
      <c r="G45" s="313"/>
      <c r="H45" s="313"/>
      <c r="I45" s="313"/>
      <c r="J45" s="313"/>
      <c r="K45" s="313"/>
      <c r="L45" s="313"/>
      <c r="M45" s="313"/>
      <c r="N45" s="313"/>
      <c r="O45" s="313"/>
      <c r="P45" s="313"/>
      <c r="Q45" s="313"/>
      <c r="R45" s="313"/>
      <c r="S45" s="313"/>
      <c r="T45" s="313"/>
    </row>
    <row r="46" spans="2:20" ht="30" customHeight="1" x14ac:dyDescent="0.3">
      <c r="B46" s="25"/>
      <c r="C46" s="43"/>
      <c r="D46" s="47"/>
      <c r="E46" s="313" t="s">
        <v>762</v>
      </c>
      <c r="F46" s="313"/>
      <c r="G46" s="313"/>
      <c r="H46" s="313"/>
      <c r="I46" s="313"/>
      <c r="J46" s="313"/>
      <c r="K46" s="313"/>
      <c r="L46" s="313"/>
      <c r="M46" s="313"/>
      <c r="N46" s="313"/>
      <c r="O46" s="313"/>
      <c r="P46" s="313"/>
      <c r="Q46" s="313"/>
      <c r="R46" s="313"/>
      <c r="S46" s="313"/>
      <c r="T46" s="313"/>
    </row>
    <row r="47" spans="2:20" ht="30" customHeight="1" x14ac:dyDescent="0.3">
      <c r="B47" s="25"/>
      <c r="C47" s="43"/>
      <c r="D47" s="46" t="s">
        <v>763</v>
      </c>
      <c r="E47" s="313" t="s">
        <v>759</v>
      </c>
      <c r="F47" s="313"/>
      <c r="G47" s="313"/>
      <c r="H47" s="313"/>
      <c r="I47" s="313"/>
      <c r="J47" s="313"/>
      <c r="K47" s="313"/>
      <c r="L47" s="313"/>
      <c r="M47" s="313"/>
      <c r="N47" s="313"/>
      <c r="O47" s="313"/>
      <c r="P47" s="313"/>
      <c r="Q47" s="313"/>
      <c r="R47" s="313"/>
      <c r="S47" s="313"/>
      <c r="T47" s="313"/>
    </row>
    <row r="48" spans="2:20" ht="30" customHeight="1" x14ac:dyDescent="0.3">
      <c r="B48" s="25"/>
      <c r="C48" s="43"/>
      <c r="D48" s="44"/>
      <c r="E48" s="313" t="s">
        <v>764</v>
      </c>
      <c r="F48" s="313"/>
      <c r="G48" s="313"/>
      <c r="H48" s="313"/>
      <c r="I48" s="313"/>
      <c r="J48" s="313"/>
      <c r="K48" s="313"/>
      <c r="L48" s="313"/>
      <c r="M48" s="313"/>
      <c r="N48" s="313"/>
      <c r="O48" s="313"/>
      <c r="P48" s="313"/>
      <c r="Q48" s="313"/>
      <c r="R48" s="313"/>
      <c r="S48" s="313"/>
      <c r="T48" s="313"/>
    </row>
    <row r="49" spans="2:20" ht="30" customHeight="1" x14ac:dyDescent="0.3">
      <c r="B49" s="25"/>
      <c r="C49" s="48"/>
      <c r="D49" s="49"/>
      <c r="E49" s="350" t="s">
        <v>765</v>
      </c>
      <c r="F49" s="350"/>
      <c r="G49" s="350"/>
      <c r="H49" s="350"/>
      <c r="I49" s="350"/>
      <c r="J49" s="350"/>
      <c r="K49" s="350"/>
      <c r="L49" s="350"/>
      <c r="M49" s="350"/>
      <c r="N49" s="350"/>
      <c r="O49" s="350"/>
      <c r="P49" s="350"/>
      <c r="Q49" s="350"/>
      <c r="R49" s="350"/>
      <c r="S49" s="350"/>
      <c r="T49" s="350"/>
    </row>
    <row r="50" spans="2:20" ht="15" customHeight="1" x14ac:dyDescent="0.3">
      <c r="B50" s="25"/>
      <c r="D50" s="407"/>
      <c r="E50" s="407"/>
      <c r="F50" s="407"/>
      <c r="G50" s="407"/>
      <c r="H50" s="407"/>
      <c r="I50" s="407"/>
      <c r="J50" s="407"/>
      <c r="K50" s="407"/>
      <c r="L50" s="407"/>
      <c r="M50" s="407"/>
      <c r="N50" s="407"/>
      <c r="O50" s="407"/>
      <c r="P50" s="407"/>
      <c r="Q50" s="407"/>
      <c r="R50" s="407"/>
      <c r="S50" s="407"/>
      <c r="T50" s="407"/>
    </row>
    <row r="51" spans="2:20" ht="30" customHeight="1" x14ac:dyDescent="0.3">
      <c r="B51" s="25"/>
      <c r="C51" s="401" t="s">
        <v>766</v>
      </c>
      <c r="D51" s="401"/>
      <c r="E51" s="402" t="s">
        <v>767</v>
      </c>
      <c r="F51" s="402"/>
      <c r="G51" s="402"/>
      <c r="H51" s="402"/>
      <c r="I51" s="402"/>
      <c r="J51" s="402"/>
      <c r="K51" s="402"/>
      <c r="L51" s="402"/>
      <c r="M51" s="402"/>
      <c r="N51" s="402"/>
      <c r="O51" s="402"/>
      <c r="P51" s="402"/>
      <c r="Q51" s="402"/>
      <c r="R51" s="402"/>
      <c r="S51" s="402"/>
      <c r="T51" s="402"/>
    </row>
    <row r="52" spans="2:20" ht="30" customHeight="1" x14ac:dyDescent="0.3">
      <c r="B52" s="25"/>
      <c r="C52" s="25"/>
      <c r="E52" s="313" t="s">
        <v>768</v>
      </c>
      <c r="F52" s="313"/>
      <c r="G52" s="313"/>
      <c r="H52" s="313"/>
      <c r="I52" s="313"/>
      <c r="J52" s="313"/>
      <c r="K52" s="313"/>
      <c r="L52" s="313"/>
      <c r="M52" s="313"/>
      <c r="N52" s="313"/>
      <c r="O52" s="313"/>
      <c r="P52" s="313"/>
      <c r="Q52" s="313"/>
      <c r="R52" s="313"/>
      <c r="S52" s="313"/>
      <c r="T52" s="313"/>
    </row>
    <row r="53" spans="2:20" ht="15" customHeight="1" x14ac:dyDescent="0.3">
      <c r="B53" s="25"/>
      <c r="C53" s="25"/>
      <c r="T53" s="38"/>
    </row>
    <row r="54" spans="2:20" ht="30" customHeight="1" x14ac:dyDescent="0.3">
      <c r="B54" s="25"/>
      <c r="C54" s="25"/>
      <c r="E54" s="408" t="s">
        <v>769</v>
      </c>
      <c r="F54" s="408"/>
      <c r="G54" s="408"/>
      <c r="H54" s="408"/>
      <c r="I54" s="409" t="s">
        <v>770</v>
      </c>
      <c r="J54" s="409"/>
      <c r="K54" s="409"/>
      <c r="L54" s="409"/>
      <c r="M54" s="410" t="s">
        <v>769</v>
      </c>
      <c r="N54" s="410"/>
      <c r="O54" s="410"/>
      <c r="P54" s="410"/>
      <c r="Q54" s="403" t="s">
        <v>770</v>
      </c>
      <c r="R54" s="403"/>
      <c r="S54" s="403"/>
      <c r="T54" s="403"/>
    </row>
    <row r="55" spans="2:20" ht="30" customHeight="1" x14ac:dyDescent="0.3">
      <c r="B55" s="25"/>
      <c r="C55" s="25"/>
      <c r="E55" s="248" t="s">
        <v>771</v>
      </c>
      <c r="F55" s="248"/>
      <c r="G55" s="248"/>
      <c r="H55" s="248"/>
      <c r="I55" s="404" t="s">
        <v>772</v>
      </c>
      <c r="J55" s="404"/>
      <c r="K55" s="404"/>
      <c r="L55" s="404"/>
      <c r="M55" s="405" t="s">
        <v>773</v>
      </c>
      <c r="N55" s="405"/>
      <c r="O55" s="405"/>
      <c r="P55" s="405"/>
      <c r="Q55" s="249" t="s">
        <v>774</v>
      </c>
      <c r="R55" s="249"/>
      <c r="S55" s="249"/>
      <c r="T55" s="249"/>
    </row>
    <row r="56" spans="2:20" ht="30" customHeight="1" x14ac:dyDescent="0.3">
      <c r="B56" s="25"/>
      <c r="C56" s="25"/>
      <c r="E56" s="248" t="s">
        <v>775</v>
      </c>
      <c r="F56" s="248"/>
      <c r="G56" s="248"/>
      <c r="H56" s="248"/>
      <c r="I56" s="404" t="s">
        <v>776</v>
      </c>
      <c r="J56" s="404"/>
      <c r="K56" s="404"/>
      <c r="L56" s="404"/>
      <c r="M56" s="405" t="s">
        <v>777</v>
      </c>
      <c r="N56" s="405"/>
      <c r="O56" s="405"/>
      <c r="P56" s="405"/>
      <c r="Q56" s="249" t="s">
        <v>778</v>
      </c>
      <c r="R56" s="249"/>
      <c r="S56" s="249"/>
      <c r="T56" s="249"/>
    </row>
    <row r="57" spans="2:20" ht="30" customHeight="1" x14ac:dyDescent="0.3">
      <c r="B57" s="25"/>
      <c r="C57" s="25"/>
      <c r="E57" s="248" t="s">
        <v>779</v>
      </c>
      <c r="F57" s="248"/>
      <c r="G57" s="248"/>
      <c r="H57" s="248"/>
      <c r="I57" s="404" t="s">
        <v>148</v>
      </c>
      <c r="J57" s="404"/>
      <c r="K57" s="404"/>
      <c r="L57" s="404"/>
      <c r="M57" s="405" t="s">
        <v>780</v>
      </c>
      <c r="N57" s="405"/>
      <c r="O57" s="405"/>
      <c r="P57" s="405"/>
      <c r="Q57" s="249" t="s">
        <v>781</v>
      </c>
      <c r="R57" s="249"/>
      <c r="S57" s="249"/>
      <c r="T57" s="249"/>
    </row>
    <row r="58" spans="2:20" ht="30" customHeight="1" x14ac:dyDescent="0.3">
      <c r="B58" s="25"/>
      <c r="C58" s="25"/>
      <c r="E58" s="248" t="s">
        <v>782</v>
      </c>
      <c r="F58" s="248"/>
      <c r="G58" s="248"/>
      <c r="H58" s="248"/>
      <c r="I58" s="404" t="s">
        <v>783</v>
      </c>
      <c r="J58" s="404"/>
      <c r="K58" s="404"/>
      <c r="L58" s="404"/>
      <c r="M58" s="405" t="s">
        <v>784</v>
      </c>
      <c r="N58" s="405"/>
      <c r="O58" s="405"/>
      <c r="P58" s="405"/>
      <c r="Q58" s="249" t="s">
        <v>785</v>
      </c>
      <c r="R58" s="249"/>
      <c r="S58" s="249"/>
      <c r="T58" s="249"/>
    </row>
    <row r="59" spans="2:20" ht="30" customHeight="1" x14ac:dyDescent="0.3">
      <c r="B59" s="25"/>
      <c r="C59" s="25"/>
      <c r="E59" s="248" t="s">
        <v>786</v>
      </c>
      <c r="F59" s="248"/>
      <c r="G59" s="248"/>
      <c r="H59" s="248"/>
      <c r="I59" s="404" t="s">
        <v>787</v>
      </c>
      <c r="J59" s="404"/>
      <c r="K59" s="404"/>
      <c r="L59" s="404"/>
      <c r="M59" s="405" t="s">
        <v>788</v>
      </c>
      <c r="N59" s="405"/>
      <c r="O59" s="405"/>
      <c r="P59" s="405"/>
      <c r="Q59" s="249" t="s">
        <v>789</v>
      </c>
      <c r="R59" s="249"/>
      <c r="S59" s="249"/>
      <c r="T59" s="249"/>
    </row>
    <row r="60" spans="2:20" ht="30" customHeight="1" x14ac:dyDescent="0.3">
      <c r="B60" s="25"/>
      <c r="C60" s="25"/>
      <c r="E60" s="248" t="s">
        <v>790</v>
      </c>
      <c r="F60" s="248"/>
      <c r="G60" s="248"/>
      <c r="H60" s="248"/>
      <c r="I60" s="404" t="s">
        <v>791</v>
      </c>
      <c r="J60" s="404"/>
      <c r="K60" s="404"/>
      <c r="L60" s="404"/>
      <c r="M60" s="405" t="s">
        <v>792</v>
      </c>
      <c r="N60" s="405"/>
      <c r="O60" s="405"/>
      <c r="P60" s="405"/>
      <c r="Q60" s="249" t="s">
        <v>793</v>
      </c>
      <c r="R60" s="249"/>
      <c r="S60" s="249"/>
      <c r="T60" s="249"/>
    </row>
    <row r="61" spans="2:20" ht="30" customHeight="1" x14ac:dyDescent="0.3">
      <c r="B61" s="25"/>
      <c r="C61" s="25"/>
      <c r="E61" s="248" t="s">
        <v>794</v>
      </c>
      <c r="F61" s="248"/>
      <c r="G61" s="248"/>
      <c r="H61" s="248"/>
      <c r="I61" s="404" t="s">
        <v>795</v>
      </c>
      <c r="J61" s="404"/>
      <c r="K61" s="404"/>
      <c r="L61" s="404"/>
      <c r="M61" s="405" t="s">
        <v>796</v>
      </c>
      <c r="N61" s="405"/>
      <c r="O61" s="405"/>
      <c r="P61" s="405"/>
      <c r="Q61" s="249" t="s">
        <v>797</v>
      </c>
      <c r="R61" s="249"/>
      <c r="S61" s="249"/>
      <c r="T61" s="249"/>
    </row>
    <row r="62" spans="2:20" ht="15" customHeight="1" x14ac:dyDescent="0.3">
      <c r="B62" s="25"/>
      <c r="C62" s="40"/>
      <c r="D62" s="50"/>
      <c r="E62" s="397"/>
      <c r="F62" s="397"/>
      <c r="G62" s="397"/>
      <c r="H62" s="397"/>
      <c r="I62" s="397"/>
      <c r="J62" s="397"/>
      <c r="K62" s="397"/>
      <c r="L62" s="397"/>
      <c r="M62" s="397"/>
      <c r="N62" s="397"/>
      <c r="O62" s="397"/>
      <c r="P62" s="397"/>
      <c r="Q62" s="398"/>
      <c r="R62" s="398"/>
      <c r="S62" s="398"/>
      <c r="T62" s="398"/>
    </row>
    <row r="63" spans="2:20" ht="30" customHeight="1" x14ac:dyDescent="0.3">
      <c r="B63" s="25"/>
      <c r="E63" s="321"/>
      <c r="F63" s="321"/>
      <c r="G63" s="321"/>
      <c r="H63" s="321"/>
      <c r="I63" s="321"/>
      <c r="J63" s="321"/>
      <c r="K63" s="321"/>
      <c r="L63" s="321"/>
      <c r="M63" s="321"/>
      <c r="N63" s="321"/>
      <c r="O63" s="321"/>
      <c r="P63" s="321"/>
      <c r="Q63" s="406"/>
      <c r="R63" s="406"/>
      <c r="S63" s="406"/>
      <c r="T63" s="406"/>
    </row>
    <row r="64" spans="2:20" ht="30" customHeight="1" x14ac:dyDescent="0.3">
      <c r="B64" s="25"/>
      <c r="C64" s="401" t="s">
        <v>798</v>
      </c>
      <c r="D64" s="401"/>
      <c r="E64" s="402" t="s">
        <v>799</v>
      </c>
      <c r="F64" s="402"/>
      <c r="G64" s="402"/>
      <c r="H64" s="402"/>
      <c r="I64" s="402"/>
      <c r="J64" s="402"/>
      <c r="K64" s="402"/>
      <c r="L64" s="402"/>
      <c r="M64" s="402"/>
      <c r="N64" s="402"/>
      <c r="O64" s="402"/>
      <c r="P64" s="402"/>
      <c r="Q64" s="402"/>
      <c r="R64" s="402"/>
      <c r="S64" s="402"/>
      <c r="T64" s="402"/>
    </row>
    <row r="65" spans="2:20" ht="30" customHeight="1" x14ac:dyDescent="0.3">
      <c r="B65" s="25"/>
      <c r="C65" s="51"/>
      <c r="D65" s="52"/>
      <c r="E65" s="313" t="s">
        <v>800</v>
      </c>
      <c r="F65" s="313"/>
      <c r="G65" s="313"/>
      <c r="H65" s="313"/>
      <c r="I65" s="313"/>
      <c r="J65" s="313"/>
      <c r="K65" s="313"/>
      <c r="L65" s="313"/>
      <c r="M65" s="313"/>
      <c r="N65" s="313"/>
      <c r="O65" s="313"/>
      <c r="P65" s="313"/>
      <c r="Q65" s="313"/>
      <c r="R65" s="313"/>
      <c r="S65" s="313"/>
      <c r="T65" s="313"/>
    </row>
    <row r="66" spans="2:20" ht="30" customHeight="1" x14ac:dyDescent="0.3">
      <c r="B66" s="25"/>
      <c r="C66" s="51"/>
      <c r="D66" s="52"/>
      <c r="E66" s="313" t="s">
        <v>801</v>
      </c>
      <c r="F66" s="313"/>
      <c r="G66" s="313"/>
      <c r="H66" s="313"/>
      <c r="I66" s="313"/>
      <c r="J66" s="313"/>
      <c r="K66" s="313"/>
      <c r="L66" s="313"/>
      <c r="M66" s="313"/>
      <c r="N66" s="313"/>
      <c r="O66" s="313"/>
      <c r="P66" s="313"/>
      <c r="Q66" s="313"/>
      <c r="R66" s="313"/>
      <c r="S66" s="313"/>
      <c r="T66" s="313"/>
    </row>
    <row r="67" spans="2:20" ht="30" customHeight="1" x14ac:dyDescent="0.3">
      <c r="B67" s="25"/>
      <c r="C67" s="51"/>
      <c r="D67" s="52"/>
      <c r="E67" s="313" t="s">
        <v>802</v>
      </c>
      <c r="F67" s="313"/>
      <c r="G67" s="313"/>
      <c r="H67" s="313"/>
      <c r="I67" s="313"/>
      <c r="J67" s="313"/>
      <c r="K67" s="313"/>
      <c r="L67" s="313"/>
      <c r="M67" s="313"/>
      <c r="N67" s="313"/>
      <c r="O67" s="313"/>
      <c r="P67" s="313"/>
      <c r="Q67" s="313"/>
      <c r="R67" s="313"/>
      <c r="S67" s="313"/>
      <c r="T67" s="313"/>
    </row>
    <row r="68" spans="2:20" ht="30" customHeight="1" x14ac:dyDescent="0.3">
      <c r="B68" s="25"/>
      <c r="C68" s="51"/>
      <c r="D68" s="52"/>
      <c r="E68" s="313" t="s">
        <v>803</v>
      </c>
      <c r="F68" s="313"/>
      <c r="G68" s="313"/>
      <c r="H68" s="313"/>
      <c r="I68" s="313"/>
      <c r="J68" s="313"/>
      <c r="K68" s="313"/>
      <c r="L68" s="313"/>
      <c r="M68" s="313"/>
      <c r="N68" s="313"/>
      <c r="O68" s="313"/>
      <c r="P68" s="313"/>
      <c r="Q68" s="313"/>
      <c r="R68" s="313"/>
      <c r="S68" s="313"/>
      <c r="T68" s="313"/>
    </row>
    <row r="69" spans="2:20" ht="30" customHeight="1" x14ac:dyDescent="0.3">
      <c r="B69" s="25"/>
      <c r="C69" s="51"/>
      <c r="D69" s="52"/>
      <c r="E69" s="313" t="s">
        <v>804</v>
      </c>
      <c r="F69" s="313"/>
      <c r="G69" s="313"/>
      <c r="H69" s="313"/>
      <c r="I69" s="313"/>
      <c r="J69" s="313"/>
      <c r="K69" s="313"/>
      <c r="L69" s="313"/>
      <c r="M69" s="313"/>
      <c r="N69" s="313"/>
      <c r="O69" s="313"/>
      <c r="P69" s="313"/>
      <c r="Q69" s="313"/>
      <c r="R69" s="313"/>
      <c r="S69" s="313"/>
      <c r="T69" s="313"/>
    </row>
    <row r="70" spans="2:20" ht="30" customHeight="1" x14ac:dyDescent="0.3">
      <c r="B70" s="25"/>
      <c r="C70" s="25"/>
      <c r="E70" s="313" t="s">
        <v>805</v>
      </c>
      <c r="F70" s="313"/>
      <c r="G70" s="313"/>
      <c r="H70" s="313"/>
      <c r="I70" s="313"/>
      <c r="J70" s="313"/>
      <c r="K70" s="313"/>
      <c r="L70" s="313"/>
      <c r="M70" s="313"/>
      <c r="N70" s="313"/>
      <c r="O70" s="313"/>
      <c r="P70" s="313"/>
      <c r="Q70" s="313"/>
      <c r="R70" s="313"/>
      <c r="S70" s="313"/>
      <c r="T70" s="313"/>
    </row>
    <row r="71" spans="2:20" ht="15" customHeight="1" x14ac:dyDescent="0.3">
      <c r="B71" s="25"/>
      <c r="C71" s="25"/>
      <c r="T71" s="38"/>
    </row>
    <row r="72" spans="2:20" ht="30" customHeight="1" x14ac:dyDescent="0.3">
      <c r="B72" s="25"/>
      <c r="C72" s="25"/>
      <c r="E72" s="403" t="s">
        <v>564</v>
      </c>
      <c r="F72" s="403"/>
      <c r="G72" s="403"/>
      <c r="H72" s="403"/>
      <c r="I72" s="403"/>
      <c r="J72" s="403"/>
      <c r="K72" s="403"/>
      <c r="L72" s="403"/>
      <c r="M72" s="403"/>
      <c r="N72" s="403"/>
      <c r="O72" s="403"/>
      <c r="P72" s="403"/>
      <c r="Q72" s="403"/>
      <c r="R72" s="403"/>
      <c r="S72" s="403"/>
      <c r="T72" s="403"/>
    </row>
    <row r="73" spans="2:20" ht="30" customHeight="1" x14ac:dyDescent="0.3">
      <c r="B73" s="25"/>
      <c r="C73" s="25"/>
      <c r="E73" s="399" t="s">
        <v>806</v>
      </c>
      <c r="F73" s="399"/>
      <c r="G73" s="248" t="s">
        <v>807</v>
      </c>
      <c r="H73" s="248"/>
      <c r="I73" s="320" t="s">
        <v>808</v>
      </c>
      <c r="J73" s="320"/>
      <c r="K73" s="320"/>
      <c r="L73" s="320"/>
      <c r="M73" s="320"/>
      <c r="N73" s="320"/>
      <c r="O73" s="320"/>
      <c r="P73" s="320"/>
      <c r="Q73" s="320"/>
      <c r="R73" s="320"/>
      <c r="S73" s="320"/>
      <c r="T73" s="320"/>
    </row>
    <row r="74" spans="2:20" ht="30" customHeight="1" x14ac:dyDescent="0.3">
      <c r="B74" s="25"/>
      <c r="C74" s="25"/>
      <c r="E74" s="53"/>
      <c r="F74" s="54"/>
      <c r="G74" s="248" t="s">
        <v>809</v>
      </c>
      <c r="H74" s="248"/>
      <c r="I74" s="320" t="s">
        <v>810</v>
      </c>
      <c r="J74" s="320"/>
      <c r="K74" s="320"/>
      <c r="L74" s="320"/>
      <c r="M74" s="320"/>
      <c r="N74" s="320"/>
      <c r="O74" s="320"/>
      <c r="P74" s="320"/>
      <c r="Q74" s="320"/>
      <c r="R74" s="320"/>
      <c r="S74" s="320"/>
      <c r="T74" s="320"/>
    </row>
    <row r="75" spans="2:20" ht="30" customHeight="1" x14ac:dyDescent="0.3">
      <c r="B75" s="25"/>
      <c r="C75" s="25"/>
      <c r="E75" s="55"/>
      <c r="F75" s="56"/>
      <c r="G75" s="248" t="s">
        <v>811</v>
      </c>
      <c r="H75" s="248"/>
      <c r="I75" s="320" t="s">
        <v>812</v>
      </c>
      <c r="J75" s="320"/>
      <c r="K75" s="320"/>
      <c r="L75" s="320"/>
      <c r="M75" s="320"/>
      <c r="N75" s="320"/>
      <c r="O75" s="320"/>
      <c r="P75" s="320"/>
      <c r="Q75" s="320"/>
      <c r="R75" s="320"/>
      <c r="S75" s="320"/>
      <c r="T75" s="320"/>
    </row>
    <row r="76" spans="2:20" ht="30" customHeight="1" x14ac:dyDescent="0.3">
      <c r="B76" s="25"/>
      <c r="C76" s="25"/>
      <c r="E76" s="400" t="s">
        <v>813</v>
      </c>
      <c r="F76" s="400"/>
      <c r="G76" s="248" t="s">
        <v>807</v>
      </c>
      <c r="H76" s="248"/>
      <c r="I76" s="320" t="s">
        <v>814</v>
      </c>
      <c r="J76" s="320"/>
      <c r="K76" s="320"/>
      <c r="L76" s="320"/>
      <c r="M76" s="320"/>
      <c r="N76" s="320"/>
      <c r="O76" s="320"/>
      <c r="P76" s="320"/>
      <c r="Q76" s="320"/>
      <c r="R76" s="320"/>
      <c r="S76" s="320"/>
      <c r="T76" s="320"/>
    </row>
    <row r="77" spans="2:20" ht="30" customHeight="1" x14ac:dyDescent="0.3">
      <c r="B77" s="25"/>
      <c r="C77" s="25"/>
      <c r="E77" s="55"/>
      <c r="F77" s="56"/>
      <c r="G77" s="248" t="s">
        <v>809</v>
      </c>
      <c r="H77" s="248"/>
      <c r="I77" s="320" t="s">
        <v>815</v>
      </c>
      <c r="J77" s="320"/>
      <c r="K77" s="320"/>
      <c r="L77" s="320"/>
      <c r="M77" s="320"/>
      <c r="N77" s="320"/>
      <c r="O77" s="320"/>
      <c r="P77" s="320"/>
      <c r="Q77" s="320"/>
      <c r="R77" s="320"/>
      <c r="S77" s="320"/>
      <c r="T77" s="320"/>
    </row>
    <row r="78" spans="2:20" ht="15" customHeight="1" x14ac:dyDescent="0.3">
      <c r="B78" s="25"/>
      <c r="C78" s="40"/>
      <c r="D78" s="50"/>
      <c r="E78" s="397"/>
      <c r="F78" s="397"/>
      <c r="G78" s="397"/>
      <c r="H78" s="397"/>
      <c r="I78" s="397"/>
      <c r="J78" s="397"/>
      <c r="K78" s="397"/>
      <c r="L78" s="397"/>
      <c r="M78" s="397"/>
      <c r="N78" s="397"/>
      <c r="O78" s="397"/>
      <c r="P78" s="397"/>
      <c r="Q78" s="398"/>
      <c r="R78" s="398"/>
      <c r="S78" s="398"/>
      <c r="T78" s="398"/>
    </row>
    <row r="79" spans="2:20" ht="15" customHeight="1" x14ac:dyDescent="0.3">
      <c r="B79" s="40"/>
      <c r="C79" s="50"/>
      <c r="D79" s="50"/>
      <c r="E79" s="50"/>
      <c r="F79" s="50"/>
      <c r="G79" s="50"/>
      <c r="H79" s="50"/>
      <c r="I79" s="50"/>
      <c r="J79" s="50"/>
      <c r="K79" s="50"/>
      <c r="L79" s="50"/>
      <c r="M79" s="50"/>
      <c r="N79" s="50"/>
      <c r="O79" s="50"/>
      <c r="P79" s="50"/>
      <c r="Q79" s="50"/>
      <c r="R79" s="50"/>
      <c r="S79" s="50"/>
      <c r="T79" s="57"/>
    </row>
  </sheetData>
  <mergeCells count="128">
    <mergeCell ref="B2:D2"/>
    <mergeCell ref="E2:L2"/>
    <mergeCell ref="M2:O2"/>
    <mergeCell ref="P2:T2"/>
    <mergeCell ref="B3:D3"/>
    <mergeCell ref="E3:L3"/>
    <mergeCell ref="M3:O3"/>
    <mergeCell ref="P3:T3"/>
    <mergeCell ref="B4:T4"/>
    <mergeCell ref="B5:T8"/>
    <mergeCell ref="B10:T11"/>
    <mergeCell ref="B13:C13"/>
    <mergeCell ref="D13:T13"/>
    <mergeCell ref="B14:C14"/>
    <mergeCell ref="D14:T14"/>
    <mergeCell ref="B15:C15"/>
    <mergeCell ref="D15:T15"/>
    <mergeCell ref="B17:T17"/>
    <mergeCell ref="C18:T18"/>
    <mergeCell ref="C19:T19"/>
    <mergeCell ref="C20:T20"/>
    <mergeCell ref="C21:T21"/>
    <mergeCell ref="D22:G22"/>
    <mergeCell ref="H22:K22"/>
    <mergeCell ref="L22:O22"/>
    <mergeCell ref="P22:S22"/>
    <mergeCell ref="D23:G27"/>
    <mergeCell ref="H23:K27"/>
    <mergeCell ref="L23:O23"/>
    <mergeCell ref="P23:S23"/>
    <mergeCell ref="L24:O24"/>
    <mergeCell ref="P24:S24"/>
    <mergeCell ref="L25:O25"/>
    <mergeCell ref="P25:S25"/>
    <mergeCell ref="L26:O26"/>
    <mergeCell ref="P26:S26"/>
    <mergeCell ref="L27:O27"/>
    <mergeCell ref="P27:S27"/>
    <mergeCell ref="B29:T29"/>
    <mergeCell ref="D30:T30"/>
    <mergeCell ref="D31:T31"/>
    <mergeCell ref="D32:T32"/>
    <mergeCell ref="D33:T33"/>
    <mergeCell ref="D34:T34"/>
    <mergeCell ref="D35:T35"/>
    <mergeCell ref="E36:T36"/>
    <mergeCell ref="E37:T37"/>
    <mergeCell ref="E38:T38"/>
    <mergeCell ref="E39:T39"/>
    <mergeCell ref="E40:T40"/>
    <mergeCell ref="E41:T41"/>
    <mergeCell ref="E42:T42"/>
    <mergeCell ref="E43:T43"/>
    <mergeCell ref="E44:T44"/>
    <mergeCell ref="E45:T45"/>
    <mergeCell ref="E46:T46"/>
    <mergeCell ref="E47:T47"/>
    <mergeCell ref="E48:T48"/>
    <mergeCell ref="E49:T49"/>
    <mergeCell ref="D50:T50"/>
    <mergeCell ref="C51:D51"/>
    <mergeCell ref="E51:T51"/>
    <mergeCell ref="E52:T52"/>
    <mergeCell ref="E54:H54"/>
    <mergeCell ref="I54:L54"/>
    <mergeCell ref="M54:P54"/>
    <mergeCell ref="Q54:T54"/>
    <mergeCell ref="E55:H55"/>
    <mergeCell ref="I55:L55"/>
    <mergeCell ref="M55:P55"/>
    <mergeCell ref="Q55:T55"/>
    <mergeCell ref="E56:H56"/>
    <mergeCell ref="I56:L56"/>
    <mergeCell ref="M56:P56"/>
    <mergeCell ref="Q56:T56"/>
    <mergeCell ref="E57:H57"/>
    <mergeCell ref="I57:L57"/>
    <mergeCell ref="M57:P57"/>
    <mergeCell ref="Q57:T57"/>
    <mergeCell ref="E58:H58"/>
    <mergeCell ref="I58:L58"/>
    <mergeCell ref="M58:P58"/>
    <mergeCell ref="Q58:T58"/>
    <mergeCell ref="E59:H59"/>
    <mergeCell ref="I59:L59"/>
    <mergeCell ref="M59:P59"/>
    <mergeCell ref="Q59:T59"/>
    <mergeCell ref="E60:H60"/>
    <mergeCell ref="I60:L60"/>
    <mergeCell ref="M60:P60"/>
    <mergeCell ref="Q60:T60"/>
    <mergeCell ref="E61:H61"/>
    <mergeCell ref="I61:L61"/>
    <mergeCell ref="M61:P61"/>
    <mergeCell ref="Q61:T61"/>
    <mergeCell ref="E62:H62"/>
    <mergeCell ref="I62:L62"/>
    <mergeCell ref="M62:P62"/>
    <mergeCell ref="Q62:T62"/>
    <mergeCell ref="E63:H63"/>
    <mergeCell ref="I63:L63"/>
    <mergeCell ref="M63:P63"/>
    <mergeCell ref="Q63:T63"/>
    <mergeCell ref="C64:D64"/>
    <mergeCell ref="E64:T64"/>
    <mergeCell ref="E65:T65"/>
    <mergeCell ref="E66:T66"/>
    <mergeCell ref="E67:T67"/>
    <mergeCell ref="E68:T68"/>
    <mergeCell ref="E69:T69"/>
    <mergeCell ref="E70:T70"/>
    <mergeCell ref="E72:T72"/>
    <mergeCell ref="G77:H77"/>
    <mergeCell ref="I77:T77"/>
    <mergeCell ref="E78:H78"/>
    <mergeCell ref="I78:L78"/>
    <mergeCell ref="M78:P78"/>
    <mergeCell ref="Q78:T78"/>
    <mergeCell ref="E73:F73"/>
    <mergeCell ref="G73:H73"/>
    <mergeCell ref="I73:T73"/>
    <mergeCell ref="G74:H74"/>
    <mergeCell ref="I74:T74"/>
    <mergeCell ref="G75:H75"/>
    <mergeCell ref="I75:T75"/>
    <mergeCell ref="E76:F76"/>
    <mergeCell ref="G76:H76"/>
    <mergeCell ref="I76:T76"/>
  </mergeCells>
  <phoneticPr fontId="45" type="noConversion"/>
  <pageMargins left="0.7" right="0.7" top="0.75" bottom="0.75" header="0.51180555555555496" footer="0.51180555555555496"/>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T423"/>
  <sheetViews>
    <sheetView zoomScale="85" zoomScaleNormal="85" workbookViewId="0">
      <selection activeCell="B4" sqref="B4"/>
    </sheetView>
  </sheetViews>
  <sheetFormatPr defaultRowHeight="16.5" x14ac:dyDescent="0.3"/>
  <cols>
    <col min="1" max="1" width="3.375" customWidth="1"/>
    <col min="2" max="12" width="9" customWidth="1"/>
    <col min="13" max="14" width="18.375" customWidth="1"/>
    <col min="15" max="15" width="16.125" customWidth="1"/>
    <col min="16" max="1025" width="9" customWidth="1"/>
  </cols>
  <sheetData>
    <row r="2" spans="2:46" ht="30" customHeight="1" x14ac:dyDescent="0.3">
      <c r="B2" s="255" t="s">
        <v>816</v>
      </c>
      <c r="C2" s="255"/>
      <c r="D2" s="255"/>
      <c r="E2" s="255"/>
      <c r="F2" s="255"/>
      <c r="G2" s="255"/>
      <c r="H2" s="255"/>
      <c r="I2" s="255"/>
      <c r="J2" s="255"/>
      <c r="K2" s="255"/>
      <c r="L2" s="255"/>
      <c r="M2" s="255"/>
      <c r="N2" s="255"/>
      <c r="O2" s="255"/>
      <c r="P2" s="255"/>
      <c r="Q2" s="255"/>
      <c r="R2" s="255"/>
      <c r="S2" s="255"/>
      <c r="T2" s="255"/>
      <c r="U2" s="255"/>
      <c r="V2" s="255"/>
      <c r="W2" s="255"/>
      <c r="X2" s="255"/>
      <c r="Y2" s="255"/>
      <c r="Z2" s="255"/>
      <c r="AA2" s="255"/>
      <c r="AB2" s="255"/>
      <c r="AC2" s="255"/>
      <c r="AD2" s="255"/>
      <c r="AE2" s="255"/>
      <c r="AF2" s="255"/>
      <c r="AG2" s="255"/>
      <c r="AH2" s="255"/>
      <c r="AI2" s="255"/>
      <c r="AJ2" s="255"/>
      <c r="AK2" s="255"/>
      <c r="AL2" s="255"/>
      <c r="AM2" s="255"/>
      <c r="AN2" s="255"/>
      <c r="AO2" s="255"/>
      <c r="AP2" s="255"/>
      <c r="AQ2" s="255"/>
      <c r="AR2" s="255"/>
      <c r="AS2" s="255"/>
      <c r="AT2" s="255"/>
    </row>
    <row r="3" spans="2:46" ht="30" customHeight="1" x14ac:dyDescent="0.3">
      <c r="B3" s="255"/>
      <c r="C3" s="255"/>
      <c r="D3" s="255"/>
      <c r="E3" s="255"/>
      <c r="F3" s="255"/>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row>
    <row r="5" spans="2:46" ht="30" customHeight="1" x14ac:dyDescent="0.3">
      <c r="B5" s="236" t="s">
        <v>0</v>
      </c>
      <c r="C5" s="236"/>
      <c r="D5" s="236"/>
      <c r="E5" s="237" t="str">
        <f>'00_팀프로젝트_큰틀'!E2</f>
        <v>[디지털컨버전스] ICT융합 풀스택(자바/스프링) 개발자 양성과정A</v>
      </c>
      <c r="F5" s="237"/>
      <c r="G5" s="237"/>
      <c r="H5" s="237"/>
      <c r="I5" s="237"/>
      <c r="J5" s="237"/>
      <c r="K5" s="237"/>
      <c r="L5" s="237"/>
      <c r="M5" s="237"/>
      <c r="N5" s="237"/>
      <c r="O5" s="2" t="s">
        <v>2</v>
      </c>
      <c r="P5" s="374" t="str">
        <f>'00_팀프로젝트_큰틀'!P2</f>
        <v>홍길순</v>
      </c>
      <c r="Q5" s="374"/>
      <c r="R5" s="374"/>
      <c r="S5" s="374"/>
      <c r="T5" s="374"/>
    </row>
    <row r="6" spans="2:46" ht="30" customHeight="1" x14ac:dyDescent="0.3">
      <c r="B6" s="240" t="s">
        <v>4</v>
      </c>
      <c r="C6" s="240"/>
      <c r="D6" s="240"/>
      <c r="E6" s="237" t="str">
        <f>'00_팀프로젝트_큰틀'!E3</f>
        <v>2024-02-19~2024-08-01</v>
      </c>
      <c r="F6" s="237"/>
      <c r="G6" s="237"/>
      <c r="H6" s="237"/>
      <c r="I6" s="237"/>
      <c r="J6" s="237"/>
      <c r="K6" s="237"/>
      <c r="L6" s="237"/>
      <c r="M6" s="237"/>
      <c r="N6" s="237"/>
      <c r="O6" s="1" t="s">
        <v>6</v>
      </c>
      <c r="P6" s="375">
        <v>44806</v>
      </c>
      <c r="Q6" s="375"/>
      <c r="R6" s="375"/>
      <c r="S6" s="375"/>
      <c r="T6" s="375"/>
    </row>
    <row r="7" spans="2:46" ht="30" customHeight="1" x14ac:dyDescent="0.3">
      <c r="B7" s="361" t="s">
        <v>61</v>
      </c>
      <c r="C7" s="361"/>
      <c r="D7" s="361"/>
      <c r="E7" s="361"/>
      <c r="F7" s="361"/>
      <c r="G7" s="361"/>
      <c r="H7" s="361"/>
      <c r="I7" s="361"/>
      <c r="J7" s="361"/>
      <c r="K7" s="361"/>
      <c r="L7" s="361"/>
      <c r="M7" s="361"/>
      <c r="N7" s="361"/>
      <c r="O7" s="361"/>
      <c r="P7" s="361"/>
      <c r="Q7" s="361"/>
      <c r="R7" s="361"/>
      <c r="S7" s="361"/>
      <c r="T7" s="361"/>
    </row>
    <row r="8" spans="2:46" ht="30" customHeight="1" x14ac:dyDescent="0.3">
      <c r="B8" s="390" t="s">
        <v>817</v>
      </c>
      <c r="C8" s="390"/>
      <c r="D8" s="390"/>
      <c r="E8" s="390"/>
      <c r="F8" s="390"/>
      <c r="G8" s="390"/>
      <c r="H8" s="390"/>
      <c r="I8" s="390"/>
      <c r="J8" s="390"/>
      <c r="K8" s="390"/>
      <c r="L8" s="390"/>
      <c r="M8" s="390"/>
      <c r="N8" s="390"/>
      <c r="O8" s="390"/>
      <c r="P8" s="390"/>
      <c r="Q8" s="390"/>
      <c r="R8" s="390"/>
      <c r="S8" s="390"/>
      <c r="T8" s="390"/>
    </row>
    <row r="9" spans="2:46" ht="30" customHeight="1" x14ac:dyDescent="0.3">
      <c r="B9" s="390"/>
      <c r="C9" s="390"/>
      <c r="D9" s="390"/>
      <c r="E9" s="390"/>
      <c r="F9" s="390"/>
      <c r="G9" s="390"/>
      <c r="H9" s="390"/>
      <c r="I9" s="390"/>
      <c r="J9" s="390"/>
      <c r="K9" s="390"/>
      <c r="L9" s="390"/>
      <c r="M9" s="390"/>
      <c r="N9" s="390"/>
      <c r="O9" s="390"/>
      <c r="P9" s="390"/>
      <c r="Q9" s="390"/>
      <c r="R9" s="390"/>
      <c r="S9" s="390"/>
      <c r="T9" s="390"/>
    </row>
    <row r="10" spans="2:46" ht="30" customHeight="1" x14ac:dyDescent="0.3">
      <c r="B10" s="390"/>
      <c r="C10" s="390"/>
      <c r="D10" s="390"/>
      <c r="E10" s="390"/>
      <c r="F10" s="390"/>
      <c r="G10" s="390"/>
      <c r="H10" s="390"/>
      <c r="I10" s="390"/>
      <c r="J10" s="390"/>
      <c r="K10" s="390"/>
      <c r="L10" s="390"/>
      <c r="M10" s="390"/>
      <c r="N10" s="390"/>
      <c r="O10" s="390"/>
      <c r="P10" s="390"/>
      <c r="Q10" s="390"/>
      <c r="R10" s="390"/>
      <c r="S10" s="390"/>
      <c r="T10" s="390"/>
    </row>
    <row r="11" spans="2:46" ht="30" customHeight="1" x14ac:dyDescent="0.3">
      <c r="B11" s="390"/>
      <c r="C11" s="390"/>
      <c r="D11" s="390"/>
      <c r="E11" s="390"/>
      <c r="F11" s="390"/>
      <c r="G11" s="390"/>
      <c r="H11" s="390"/>
      <c r="I11" s="390"/>
      <c r="J11" s="390"/>
      <c r="K11" s="390"/>
      <c r="L11" s="390"/>
      <c r="M11" s="390"/>
      <c r="N11" s="390"/>
      <c r="O11" s="390"/>
      <c r="P11" s="390"/>
      <c r="Q11" s="390"/>
      <c r="R11" s="390"/>
      <c r="S11" s="390"/>
      <c r="T11" s="390"/>
    </row>
    <row r="13" spans="2:46" ht="30" customHeight="1" x14ac:dyDescent="0.3">
      <c r="B13" s="421" t="s">
        <v>587</v>
      </c>
      <c r="C13" s="421"/>
      <c r="D13" s="421"/>
      <c r="E13" s="422" t="s">
        <v>818</v>
      </c>
      <c r="F13" s="422"/>
      <c r="G13" s="422" t="s">
        <v>589</v>
      </c>
      <c r="H13" s="422"/>
      <c r="I13" s="422" t="s">
        <v>819</v>
      </c>
      <c r="J13" s="422"/>
      <c r="K13" s="423" t="s">
        <v>820</v>
      </c>
      <c r="L13" s="423"/>
      <c r="M13" s="422" t="s">
        <v>821</v>
      </c>
      <c r="N13" s="422"/>
      <c r="O13" s="422"/>
      <c r="P13" s="422" t="s">
        <v>822</v>
      </c>
      <c r="Q13" s="422"/>
      <c r="R13" s="422"/>
      <c r="S13" s="422"/>
      <c r="T13" s="422"/>
      <c r="U13" s="422"/>
      <c r="V13" s="422"/>
      <c r="W13" s="422"/>
      <c r="X13" s="422"/>
      <c r="Y13" s="422"/>
      <c r="Z13" s="422"/>
      <c r="AA13" s="422"/>
      <c r="AB13" s="422"/>
      <c r="AC13" s="422"/>
      <c r="AD13" s="422"/>
      <c r="AE13" s="422"/>
      <c r="AF13" s="422"/>
      <c r="AG13" s="422"/>
      <c r="AH13" s="422"/>
      <c r="AI13" s="422"/>
      <c r="AJ13" s="422"/>
      <c r="AK13" s="422"/>
      <c r="AL13" s="422"/>
      <c r="AM13" s="424" t="s">
        <v>823</v>
      </c>
      <c r="AN13" s="424"/>
      <c r="AO13" s="424"/>
      <c r="AP13" s="424"/>
      <c r="AQ13" s="424"/>
      <c r="AR13" s="424"/>
      <c r="AS13" s="424"/>
      <c r="AT13" s="424"/>
    </row>
    <row r="14" spans="2:46" ht="30" customHeight="1" x14ac:dyDescent="0.3">
      <c r="B14" s="58" t="s">
        <v>15</v>
      </c>
      <c r="C14" s="388" t="s">
        <v>824</v>
      </c>
      <c r="D14" s="388"/>
      <c r="E14" s="422"/>
      <c r="F14" s="422"/>
      <c r="G14" s="422"/>
      <c r="H14" s="422"/>
      <c r="I14" s="422"/>
      <c r="J14" s="422"/>
      <c r="K14" s="423"/>
      <c r="L14" s="423"/>
      <c r="M14" s="33" t="s">
        <v>825</v>
      </c>
      <c r="N14" s="33" t="s">
        <v>826</v>
      </c>
      <c r="O14" s="33" t="s">
        <v>827</v>
      </c>
      <c r="P14" s="388" t="s">
        <v>828</v>
      </c>
      <c r="Q14" s="388"/>
      <c r="R14" s="388"/>
      <c r="S14" s="388"/>
      <c r="T14" s="388"/>
      <c r="U14" s="388"/>
      <c r="V14" s="388"/>
      <c r="W14" s="388" t="s">
        <v>570</v>
      </c>
      <c r="X14" s="388"/>
      <c r="Y14" s="388" t="s">
        <v>829</v>
      </c>
      <c r="Z14" s="388"/>
      <c r="AA14" s="388" t="s">
        <v>830</v>
      </c>
      <c r="AB14" s="388"/>
      <c r="AC14" s="388"/>
      <c r="AD14" s="388"/>
      <c r="AE14" s="388"/>
      <c r="AF14" s="388"/>
      <c r="AG14" s="388"/>
      <c r="AH14" s="388"/>
      <c r="AI14" s="388"/>
      <c r="AJ14" s="388"/>
      <c r="AK14" s="388"/>
      <c r="AL14" s="388"/>
      <c r="AM14" s="388" t="s">
        <v>831</v>
      </c>
      <c r="AN14" s="388"/>
      <c r="AO14" s="388"/>
      <c r="AP14" s="425" t="s">
        <v>559</v>
      </c>
      <c r="AQ14" s="425"/>
      <c r="AR14" s="425"/>
      <c r="AS14" s="425"/>
      <c r="AT14" s="425"/>
    </row>
    <row r="15" spans="2:46" ht="30" customHeight="1" x14ac:dyDescent="0.3">
      <c r="B15" s="4">
        <v>1</v>
      </c>
      <c r="C15" s="248" t="s">
        <v>832</v>
      </c>
      <c r="D15" s="248"/>
      <c r="E15" s="248" t="s">
        <v>833</v>
      </c>
      <c r="F15" s="248"/>
      <c r="G15" s="248" t="s">
        <v>834</v>
      </c>
      <c r="H15" s="248"/>
      <c r="I15" s="248" t="s">
        <v>835</v>
      </c>
      <c r="J15" s="248"/>
      <c r="K15" s="248" t="s">
        <v>836</v>
      </c>
      <c r="L15" s="248"/>
      <c r="M15" s="5" t="s">
        <v>832</v>
      </c>
      <c r="N15" s="5" t="s">
        <v>837</v>
      </c>
      <c r="O15" s="5" t="s">
        <v>838</v>
      </c>
      <c r="P15" s="247" t="s">
        <v>834</v>
      </c>
      <c r="Q15" s="247"/>
      <c r="R15" s="247"/>
      <c r="S15" s="247"/>
      <c r="T15" s="247"/>
      <c r="U15" s="247"/>
      <c r="V15" s="247"/>
      <c r="W15" s="248" t="s">
        <v>839</v>
      </c>
      <c r="X15" s="248"/>
      <c r="Y15" s="248" t="s">
        <v>840</v>
      </c>
      <c r="Z15" s="248"/>
      <c r="AA15" s="247" t="s">
        <v>841</v>
      </c>
      <c r="AB15" s="247"/>
      <c r="AC15" s="247"/>
      <c r="AD15" s="247"/>
      <c r="AE15" s="247"/>
      <c r="AF15" s="247"/>
      <c r="AG15" s="247"/>
      <c r="AH15" s="247"/>
      <c r="AI15" s="247"/>
      <c r="AJ15" s="247"/>
      <c r="AK15" s="247"/>
      <c r="AL15" s="247"/>
      <c r="AM15" s="248" t="s">
        <v>842</v>
      </c>
      <c r="AN15" s="248"/>
      <c r="AO15" s="248"/>
      <c r="AP15" s="249"/>
      <c r="AQ15" s="249"/>
      <c r="AR15" s="249"/>
      <c r="AS15" s="249"/>
      <c r="AT15" s="249"/>
    </row>
    <row r="16" spans="2:46" ht="30" customHeight="1" x14ac:dyDescent="0.3">
      <c r="B16" s="4">
        <v>2</v>
      </c>
      <c r="C16" s="248" t="s">
        <v>832</v>
      </c>
      <c r="D16" s="248"/>
      <c r="E16" s="248" t="s">
        <v>843</v>
      </c>
      <c r="F16" s="248"/>
      <c r="G16" s="248" t="s">
        <v>844</v>
      </c>
      <c r="H16" s="248"/>
      <c r="I16" s="248" t="s">
        <v>835</v>
      </c>
      <c r="J16" s="248"/>
      <c r="K16" s="248" t="s">
        <v>836</v>
      </c>
      <c r="L16" s="248"/>
      <c r="M16" s="5" t="s">
        <v>832</v>
      </c>
      <c r="N16" s="5" t="s">
        <v>837</v>
      </c>
      <c r="O16" s="5" t="s">
        <v>838</v>
      </c>
      <c r="P16" s="247" t="s">
        <v>844</v>
      </c>
      <c r="Q16" s="247"/>
      <c r="R16" s="247"/>
      <c r="S16" s="247"/>
      <c r="T16" s="247"/>
      <c r="U16" s="247"/>
      <c r="V16" s="247"/>
      <c r="W16" s="248" t="s">
        <v>845</v>
      </c>
      <c r="X16" s="248"/>
      <c r="Y16" s="248" t="s">
        <v>840</v>
      </c>
      <c r="Z16" s="248"/>
      <c r="AA16" s="247" t="s">
        <v>846</v>
      </c>
      <c r="AB16" s="247"/>
      <c r="AC16" s="247"/>
      <c r="AD16" s="247"/>
      <c r="AE16" s="247"/>
      <c r="AF16" s="247"/>
      <c r="AG16" s="247"/>
      <c r="AH16" s="247"/>
      <c r="AI16" s="247"/>
      <c r="AJ16" s="247"/>
      <c r="AK16" s="247"/>
      <c r="AL16" s="247"/>
      <c r="AM16" s="248" t="s">
        <v>842</v>
      </c>
      <c r="AN16" s="248"/>
      <c r="AO16" s="248"/>
      <c r="AP16" s="249"/>
      <c r="AQ16" s="249"/>
      <c r="AR16" s="249"/>
      <c r="AS16" s="249"/>
      <c r="AT16" s="249"/>
    </row>
    <row r="17" spans="2:46" ht="30" customHeight="1" x14ac:dyDescent="0.3">
      <c r="B17" s="4">
        <v>3</v>
      </c>
      <c r="C17" s="248" t="s">
        <v>832</v>
      </c>
      <c r="D17" s="248"/>
      <c r="E17" s="248" t="s">
        <v>847</v>
      </c>
      <c r="F17" s="248"/>
      <c r="G17" s="248" t="s">
        <v>848</v>
      </c>
      <c r="H17" s="248"/>
      <c r="I17" s="248" t="s">
        <v>835</v>
      </c>
      <c r="J17" s="248"/>
      <c r="K17" s="248" t="s">
        <v>836</v>
      </c>
      <c r="L17" s="248"/>
      <c r="M17" s="5" t="s">
        <v>832</v>
      </c>
      <c r="N17" s="5" t="s">
        <v>837</v>
      </c>
      <c r="O17" s="5" t="s">
        <v>838</v>
      </c>
      <c r="P17" s="247" t="s">
        <v>849</v>
      </c>
      <c r="Q17" s="247"/>
      <c r="R17" s="247"/>
      <c r="S17" s="247"/>
      <c r="T17" s="247"/>
      <c r="U17" s="247"/>
      <c r="V17" s="247"/>
      <c r="W17" s="248" t="s">
        <v>839</v>
      </c>
      <c r="X17" s="248"/>
      <c r="Y17" s="248" t="s">
        <v>850</v>
      </c>
      <c r="Z17" s="248"/>
      <c r="AA17" s="247" t="s">
        <v>851</v>
      </c>
      <c r="AB17" s="247"/>
      <c r="AC17" s="247"/>
      <c r="AD17" s="247"/>
      <c r="AE17" s="247"/>
      <c r="AF17" s="247"/>
      <c r="AG17" s="247"/>
      <c r="AH17" s="247"/>
      <c r="AI17" s="247"/>
      <c r="AJ17" s="247"/>
      <c r="AK17" s="247"/>
      <c r="AL17" s="247"/>
      <c r="AM17" s="248" t="s">
        <v>852</v>
      </c>
      <c r="AN17" s="248"/>
      <c r="AO17" s="248"/>
      <c r="AP17" s="420" t="s">
        <v>853</v>
      </c>
      <c r="AQ17" s="420"/>
      <c r="AR17" s="420"/>
      <c r="AS17" s="420"/>
      <c r="AT17" s="420"/>
    </row>
    <row r="18" spans="2:46" ht="30" customHeight="1" x14ac:dyDescent="0.3">
      <c r="B18" s="4">
        <v>4</v>
      </c>
      <c r="C18" s="248" t="s">
        <v>832</v>
      </c>
      <c r="D18" s="248"/>
      <c r="E18" s="248" t="s">
        <v>854</v>
      </c>
      <c r="F18" s="248"/>
      <c r="G18" s="248" t="s">
        <v>848</v>
      </c>
      <c r="H18" s="248"/>
      <c r="I18" s="248" t="s">
        <v>835</v>
      </c>
      <c r="J18" s="248"/>
      <c r="K18" s="248" t="s">
        <v>836</v>
      </c>
      <c r="L18" s="248"/>
      <c r="M18" s="5" t="s">
        <v>832</v>
      </c>
      <c r="N18" s="5" t="s">
        <v>837</v>
      </c>
      <c r="O18" s="5" t="s">
        <v>838</v>
      </c>
      <c r="P18" s="247" t="s">
        <v>848</v>
      </c>
      <c r="Q18" s="247"/>
      <c r="R18" s="247"/>
      <c r="S18" s="247"/>
      <c r="T18" s="247"/>
      <c r="U18" s="247"/>
      <c r="V18" s="247"/>
      <c r="W18" s="248" t="s">
        <v>855</v>
      </c>
      <c r="X18" s="248"/>
      <c r="Y18" s="248" t="s">
        <v>850</v>
      </c>
      <c r="Z18" s="248"/>
      <c r="AA18" s="247" t="s">
        <v>856</v>
      </c>
      <c r="AB18" s="247"/>
      <c r="AC18" s="247"/>
      <c r="AD18" s="247"/>
      <c r="AE18" s="247"/>
      <c r="AF18" s="247"/>
      <c r="AG18" s="247"/>
      <c r="AH18" s="247"/>
      <c r="AI18" s="247"/>
      <c r="AJ18" s="247"/>
      <c r="AK18" s="247"/>
      <c r="AL18" s="247"/>
      <c r="AM18" s="248" t="s">
        <v>852</v>
      </c>
      <c r="AN18" s="248"/>
      <c r="AO18" s="248"/>
      <c r="AP18" s="249"/>
      <c r="AQ18" s="249"/>
      <c r="AR18" s="249"/>
      <c r="AS18" s="249"/>
      <c r="AT18" s="249"/>
    </row>
    <row r="19" spans="2:46" ht="30" customHeight="1" x14ac:dyDescent="0.3">
      <c r="B19" s="4">
        <v>5</v>
      </c>
      <c r="C19" s="248" t="s">
        <v>832</v>
      </c>
      <c r="D19" s="248"/>
      <c r="E19" s="248" t="s">
        <v>857</v>
      </c>
      <c r="F19" s="248"/>
      <c r="G19" s="248" t="s">
        <v>834</v>
      </c>
      <c r="H19" s="248"/>
      <c r="I19" s="248" t="s">
        <v>858</v>
      </c>
      <c r="J19" s="248"/>
      <c r="K19" s="248" t="s">
        <v>859</v>
      </c>
      <c r="L19" s="248"/>
      <c r="M19" s="5" t="s">
        <v>832</v>
      </c>
      <c r="N19" s="5" t="s">
        <v>837</v>
      </c>
      <c r="O19" s="5" t="s">
        <v>860</v>
      </c>
      <c r="P19" s="247" t="s">
        <v>834</v>
      </c>
      <c r="Q19" s="247"/>
      <c r="R19" s="247"/>
      <c r="S19" s="247"/>
      <c r="T19" s="247"/>
      <c r="U19" s="247"/>
      <c r="V19" s="247"/>
      <c r="W19" s="248" t="s">
        <v>839</v>
      </c>
      <c r="X19" s="248"/>
      <c r="Y19" s="248" t="s">
        <v>840</v>
      </c>
      <c r="Z19" s="248"/>
      <c r="AA19" s="247" t="s">
        <v>841</v>
      </c>
      <c r="AB19" s="247"/>
      <c r="AC19" s="247"/>
      <c r="AD19" s="247"/>
      <c r="AE19" s="247"/>
      <c r="AF19" s="247"/>
      <c r="AG19" s="247"/>
      <c r="AH19" s="247"/>
      <c r="AI19" s="247"/>
      <c r="AJ19" s="247"/>
      <c r="AK19" s="247"/>
      <c r="AL19" s="247"/>
      <c r="AM19" s="248" t="s">
        <v>842</v>
      </c>
      <c r="AN19" s="248"/>
      <c r="AO19" s="248"/>
      <c r="AP19" s="249"/>
      <c r="AQ19" s="249"/>
      <c r="AR19" s="249"/>
      <c r="AS19" s="249"/>
      <c r="AT19" s="249"/>
    </row>
    <row r="20" spans="2:46" ht="30" customHeight="1" x14ac:dyDescent="0.3">
      <c r="B20" s="4">
        <v>6</v>
      </c>
      <c r="C20" s="248" t="s">
        <v>832</v>
      </c>
      <c r="D20" s="248"/>
      <c r="E20" s="248" t="s">
        <v>861</v>
      </c>
      <c r="F20" s="248"/>
      <c r="G20" s="248" t="s">
        <v>844</v>
      </c>
      <c r="H20" s="248"/>
      <c r="I20" s="248" t="s">
        <v>858</v>
      </c>
      <c r="J20" s="248"/>
      <c r="K20" s="248" t="s">
        <v>859</v>
      </c>
      <c r="L20" s="248"/>
      <c r="M20" s="5" t="s">
        <v>832</v>
      </c>
      <c r="N20" s="5" t="s">
        <v>837</v>
      </c>
      <c r="O20" s="5" t="s">
        <v>860</v>
      </c>
      <c r="P20" s="247" t="s">
        <v>844</v>
      </c>
      <c r="Q20" s="247"/>
      <c r="R20" s="247"/>
      <c r="S20" s="247"/>
      <c r="T20" s="247"/>
      <c r="U20" s="247"/>
      <c r="V20" s="247"/>
      <c r="W20" s="248" t="s">
        <v>845</v>
      </c>
      <c r="X20" s="248"/>
      <c r="Y20" s="248" t="s">
        <v>840</v>
      </c>
      <c r="Z20" s="248"/>
      <c r="AA20" s="247" t="s">
        <v>846</v>
      </c>
      <c r="AB20" s="247"/>
      <c r="AC20" s="247"/>
      <c r="AD20" s="247"/>
      <c r="AE20" s="247"/>
      <c r="AF20" s="247"/>
      <c r="AG20" s="247"/>
      <c r="AH20" s="247"/>
      <c r="AI20" s="247"/>
      <c r="AJ20" s="247"/>
      <c r="AK20" s="247"/>
      <c r="AL20" s="247"/>
      <c r="AM20" s="248" t="s">
        <v>842</v>
      </c>
      <c r="AN20" s="248"/>
      <c r="AO20" s="248"/>
      <c r="AP20" s="249"/>
      <c r="AQ20" s="249"/>
      <c r="AR20" s="249"/>
      <c r="AS20" s="249"/>
      <c r="AT20" s="249"/>
    </row>
    <row r="21" spans="2:46" ht="30" customHeight="1" x14ac:dyDescent="0.3">
      <c r="B21" s="4">
        <v>7</v>
      </c>
      <c r="C21" s="248" t="s">
        <v>832</v>
      </c>
      <c r="D21" s="248"/>
      <c r="E21" s="248" t="s">
        <v>862</v>
      </c>
      <c r="F21" s="248"/>
      <c r="G21" s="248" t="s">
        <v>863</v>
      </c>
      <c r="H21" s="248"/>
      <c r="I21" s="248" t="s">
        <v>858</v>
      </c>
      <c r="J21" s="248"/>
      <c r="K21" s="248" t="s">
        <v>859</v>
      </c>
      <c r="L21" s="248"/>
      <c r="M21" s="5" t="s">
        <v>832</v>
      </c>
      <c r="N21" s="5" t="s">
        <v>837</v>
      </c>
      <c r="O21" s="5" t="s">
        <v>860</v>
      </c>
      <c r="P21" s="247" t="s">
        <v>864</v>
      </c>
      <c r="Q21" s="247"/>
      <c r="R21" s="247"/>
      <c r="S21" s="247"/>
      <c r="T21" s="247"/>
      <c r="U21" s="247"/>
      <c r="V21" s="247"/>
      <c r="W21" s="248" t="s">
        <v>839</v>
      </c>
      <c r="X21" s="248"/>
      <c r="Y21" s="248" t="s">
        <v>850</v>
      </c>
      <c r="Z21" s="248"/>
      <c r="AA21" s="247" t="s">
        <v>865</v>
      </c>
      <c r="AB21" s="247"/>
      <c r="AC21" s="247"/>
      <c r="AD21" s="247"/>
      <c r="AE21" s="247"/>
      <c r="AF21" s="247"/>
      <c r="AG21" s="247"/>
      <c r="AH21" s="247"/>
      <c r="AI21" s="247"/>
      <c r="AJ21" s="247"/>
      <c r="AK21" s="247"/>
      <c r="AL21" s="247"/>
      <c r="AM21" s="248" t="s">
        <v>852</v>
      </c>
      <c r="AN21" s="248"/>
      <c r="AO21" s="248"/>
      <c r="AP21" s="249"/>
      <c r="AQ21" s="249"/>
      <c r="AR21" s="249"/>
      <c r="AS21" s="249"/>
      <c r="AT21" s="249"/>
    </row>
    <row r="22" spans="2:46" ht="30" customHeight="1" x14ac:dyDescent="0.3">
      <c r="B22" s="4">
        <v>8</v>
      </c>
      <c r="C22" s="248" t="s">
        <v>832</v>
      </c>
      <c r="D22" s="248"/>
      <c r="E22" s="248" t="s">
        <v>866</v>
      </c>
      <c r="F22" s="248"/>
      <c r="G22" s="248" t="s">
        <v>863</v>
      </c>
      <c r="H22" s="248"/>
      <c r="I22" s="248" t="s">
        <v>858</v>
      </c>
      <c r="J22" s="248"/>
      <c r="K22" s="248" t="s">
        <v>859</v>
      </c>
      <c r="L22" s="248"/>
      <c r="M22" s="5" t="s">
        <v>832</v>
      </c>
      <c r="N22" s="5" t="s">
        <v>837</v>
      </c>
      <c r="O22" s="5" t="s">
        <v>860</v>
      </c>
      <c r="P22" s="247" t="s">
        <v>867</v>
      </c>
      <c r="Q22" s="247"/>
      <c r="R22" s="247"/>
      <c r="S22" s="247"/>
      <c r="T22" s="247"/>
      <c r="U22" s="247"/>
      <c r="V22" s="247"/>
      <c r="W22" s="248" t="s">
        <v>845</v>
      </c>
      <c r="X22" s="248"/>
      <c r="Y22" s="248" t="s">
        <v>840</v>
      </c>
      <c r="Z22" s="248"/>
      <c r="AA22" s="247" t="s">
        <v>868</v>
      </c>
      <c r="AB22" s="247"/>
      <c r="AC22" s="247"/>
      <c r="AD22" s="247"/>
      <c r="AE22" s="247"/>
      <c r="AF22" s="247"/>
      <c r="AG22" s="247"/>
      <c r="AH22" s="247"/>
      <c r="AI22" s="247"/>
      <c r="AJ22" s="247"/>
      <c r="AK22" s="247"/>
      <c r="AL22" s="247"/>
      <c r="AM22" s="248" t="s">
        <v>842</v>
      </c>
      <c r="AN22" s="248"/>
      <c r="AO22" s="248"/>
      <c r="AP22" s="249"/>
      <c r="AQ22" s="249"/>
      <c r="AR22" s="249"/>
      <c r="AS22" s="249"/>
      <c r="AT22" s="249"/>
    </row>
    <row r="23" spans="2:46" ht="30" customHeight="1" x14ac:dyDescent="0.3">
      <c r="B23" s="4">
        <v>9</v>
      </c>
      <c r="C23" s="248" t="s">
        <v>832</v>
      </c>
      <c r="D23" s="248"/>
      <c r="E23" s="248" t="s">
        <v>869</v>
      </c>
      <c r="F23" s="248"/>
      <c r="G23" s="248" t="s">
        <v>863</v>
      </c>
      <c r="H23" s="248"/>
      <c r="I23" s="248" t="s">
        <v>858</v>
      </c>
      <c r="J23" s="248"/>
      <c r="K23" s="248" t="s">
        <v>859</v>
      </c>
      <c r="L23" s="248"/>
      <c r="M23" s="5" t="s">
        <v>832</v>
      </c>
      <c r="N23" s="5" t="s">
        <v>837</v>
      </c>
      <c r="O23" s="5" t="s">
        <v>860</v>
      </c>
      <c r="P23" s="247" t="s">
        <v>870</v>
      </c>
      <c r="Q23" s="247"/>
      <c r="R23" s="247"/>
      <c r="S23" s="247"/>
      <c r="T23" s="247"/>
      <c r="U23" s="247"/>
      <c r="V23" s="247"/>
      <c r="W23" s="248" t="s">
        <v>855</v>
      </c>
      <c r="X23" s="248"/>
      <c r="Y23" s="248" t="s">
        <v>850</v>
      </c>
      <c r="Z23" s="248"/>
      <c r="AA23" s="247" t="s">
        <v>871</v>
      </c>
      <c r="AB23" s="247"/>
      <c r="AC23" s="247"/>
      <c r="AD23" s="247"/>
      <c r="AE23" s="247"/>
      <c r="AF23" s="247"/>
      <c r="AG23" s="247"/>
      <c r="AH23" s="247"/>
      <c r="AI23" s="247"/>
      <c r="AJ23" s="247"/>
      <c r="AK23" s="247"/>
      <c r="AL23" s="247"/>
      <c r="AM23" s="248" t="s">
        <v>852</v>
      </c>
      <c r="AN23" s="248"/>
      <c r="AO23" s="248"/>
      <c r="AP23" s="249"/>
      <c r="AQ23" s="249"/>
      <c r="AR23" s="249"/>
      <c r="AS23" s="249"/>
      <c r="AT23" s="249"/>
    </row>
    <row r="24" spans="2:46" ht="30" customHeight="1" x14ac:dyDescent="0.3">
      <c r="B24" s="4">
        <v>10</v>
      </c>
      <c r="C24" s="248" t="s">
        <v>832</v>
      </c>
      <c r="D24" s="248"/>
      <c r="E24" s="248" t="s">
        <v>872</v>
      </c>
      <c r="F24" s="248"/>
      <c r="G24" s="248" t="s">
        <v>873</v>
      </c>
      <c r="H24" s="248"/>
      <c r="I24" s="248" t="s">
        <v>874</v>
      </c>
      <c r="J24" s="248"/>
      <c r="K24" s="248" t="s">
        <v>875</v>
      </c>
      <c r="L24" s="248"/>
      <c r="M24" s="5" t="s">
        <v>832</v>
      </c>
      <c r="N24" s="5" t="s">
        <v>873</v>
      </c>
      <c r="O24" s="5"/>
      <c r="P24" s="247"/>
      <c r="Q24" s="247"/>
      <c r="R24" s="247"/>
      <c r="S24" s="247"/>
      <c r="T24" s="247"/>
      <c r="U24" s="247"/>
      <c r="V24" s="247"/>
      <c r="W24" s="248"/>
      <c r="X24" s="248"/>
      <c r="Y24" s="248"/>
      <c r="Z24" s="248"/>
      <c r="AA24" s="247"/>
      <c r="AB24" s="247"/>
      <c r="AC24" s="247"/>
      <c r="AD24" s="247"/>
      <c r="AE24" s="247"/>
      <c r="AF24" s="247"/>
      <c r="AG24" s="247"/>
      <c r="AH24" s="247"/>
      <c r="AI24" s="247"/>
      <c r="AJ24" s="247"/>
      <c r="AK24" s="247"/>
      <c r="AL24" s="247"/>
      <c r="AM24" s="248"/>
      <c r="AN24" s="248"/>
      <c r="AO24" s="248"/>
      <c r="AP24" s="249"/>
      <c r="AQ24" s="249"/>
      <c r="AR24" s="249"/>
      <c r="AS24" s="249"/>
      <c r="AT24" s="249"/>
    </row>
    <row r="25" spans="2:46" ht="30" customHeight="1" x14ac:dyDescent="0.3">
      <c r="B25" s="4">
        <v>11</v>
      </c>
      <c r="C25" s="248" t="s">
        <v>832</v>
      </c>
      <c r="D25" s="248"/>
      <c r="E25" s="248" t="s">
        <v>876</v>
      </c>
      <c r="F25" s="248"/>
      <c r="G25" s="248" t="s">
        <v>877</v>
      </c>
      <c r="H25" s="248"/>
      <c r="I25" s="248" t="s">
        <v>878</v>
      </c>
      <c r="J25" s="248"/>
      <c r="K25" s="248" t="s">
        <v>875</v>
      </c>
      <c r="L25" s="248"/>
      <c r="M25" s="5" t="s">
        <v>832</v>
      </c>
      <c r="N25" s="5" t="s">
        <v>877</v>
      </c>
      <c r="O25" s="5"/>
      <c r="P25" s="247"/>
      <c r="Q25" s="247"/>
      <c r="R25" s="247"/>
      <c r="S25" s="247"/>
      <c r="T25" s="247"/>
      <c r="U25" s="247"/>
      <c r="V25" s="247"/>
      <c r="W25" s="248"/>
      <c r="X25" s="248"/>
      <c r="Y25" s="248"/>
      <c r="Z25" s="248"/>
      <c r="AA25" s="247"/>
      <c r="AB25" s="247"/>
      <c r="AC25" s="247"/>
      <c r="AD25" s="247"/>
      <c r="AE25" s="247"/>
      <c r="AF25" s="247"/>
      <c r="AG25" s="247"/>
      <c r="AH25" s="247"/>
      <c r="AI25" s="247"/>
      <c r="AJ25" s="247"/>
      <c r="AK25" s="247"/>
      <c r="AL25" s="247"/>
      <c r="AM25" s="248"/>
      <c r="AN25" s="248"/>
      <c r="AO25" s="248"/>
      <c r="AP25" s="249"/>
      <c r="AQ25" s="249"/>
      <c r="AR25" s="249"/>
      <c r="AS25" s="249"/>
      <c r="AT25" s="249"/>
    </row>
    <row r="26" spans="2:46" ht="30" customHeight="1" x14ac:dyDescent="0.3">
      <c r="B26" s="28">
        <v>12</v>
      </c>
      <c r="C26" s="245" t="s">
        <v>832</v>
      </c>
      <c r="D26" s="245"/>
      <c r="E26" s="245" t="s">
        <v>879</v>
      </c>
      <c r="F26" s="245"/>
      <c r="G26" s="245" t="s">
        <v>880</v>
      </c>
      <c r="H26" s="245"/>
      <c r="I26" s="245" t="s">
        <v>881</v>
      </c>
      <c r="J26" s="245"/>
      <c r="K26" s="245" t="s">
        <v>875</v>
      </c>
      <c r="L26" s="245"/>
      <c r="M26" s="8" t="s">
        <v>832</v>
      </c>
      <c r="N26" s="8" t="s">
        <v>880</v>
      </c>
      <c r="O26" s="8"/>
      <c r="P26" s="244"/>
      <c r="Q26" s="244"/>
      <c r="R26" s="244"/>
      <c r="S26" s="244"/>
      <c r="T26" s="244"/>
      <c r="U26" s="244"/>
      <c r="V26" s="244"/>
      <c r="W26" s="245"/>
      <c r="X26" s="245"/>
      <c r="Y26" s="245"/>
      <c r="Z26" s="245"/>
      <c r="AA26" s="244"/>
      <c r="AB26" s="244"/>
      <c r="AC26" s="244"/>
      <c r="AD26" s="244"/>
      <c r="AE26" s="244"/>
      <c r="AF26" s="244"/>
      <c r="AG26" s="244"/>
      <c r="AH26" s="244"/>
      <c r="AI26" s="244"/>
      <c r="AJ26" s="244"/>
      <c r="AK26" s="244"/>
      <c r="AL26" s="244"/>
      <c r="AM26" s="245"/>
      <c r="AN26" s="245"/>
      <c r="AO26" s="245"/>
      <c r="AP26" s="246"/>
      <c r="AQ26" s="246"/>
      <c r="AR26" s="246"/>
      <c r="AS26" s="246"/>
      <c r="AT26" s="246"/>
    </row>
    <row r="27" spans="2:46" ht="30" customHeight="1" x14ac:dyDescent="0.3"/>
    <row r="28" spans="2:46" ht="30" customHeight="1" x14ac:dyDescent="0.3"/>
    <row r="29" spans="2:46" ht="30" customHeight="1" x14ac:dyDescent="0.3"/>
    <row r="30" spans="2:46" ht="30" customHeight="1" x14ac:dyDescent="0.3"/>
    <row r="31" spans="2:46" ht="30" customHeight="1" x14ac:dyDescent="0.3"/>
    <row r="32" spans="2:46" ht="30" customHeight="1" x14ac:dyDescent="0.3"/>
    <row r="33" ht="30" customHeight="1" x14ac:dyDescent="0.3"/>
    <row r="34" ht="30" customHeight="1" x14ac:dyDescent="0.3"/>
    <row r="35" ht="30" customHeight="1" x14ac:dyDescent="0.3"/>
    <row r="36" ht="30" customHeight="1" x14ac:dyDescent="0.3"/>
    <row r="37" ht="30" customHeight="1" x14ac:dyDescent="0.3"/>
    <row r="38" ht="30" customHeight="1" x14ac:dyDescent="0.3"/>
    <row r="39" ht="30" customHeight="1" x14ac:dyDescent="0.3"/>
    <row r="40" ht="30" customHeight="1" x14ac:dyDescent="0.3"/>
    <row r="41" ht="30" customHeight="1" x14ac:dyDescent="0.3"/>
    <row r="42" ht="30" customHeight="1" x14ac:dyDescent="0.3"/>
    <row r="43" ht="30" customHeight="1" x14ac:dyDescent="0.3"/>
    <row r="44" ht="30" customHeight="1" x14ac:dyDescent="0.3"/>
    <row r="45" ht="30" customHeight="1" x14ac:dyDescent="0.3"/>
    <row r="46" ht="30" customHeight="1" x14ac:dyDescent="0.3"/>
    <row r="47" ht="30" customHeight="1" x14ac:dyDescent="0.3"/>
    <row r="48" ht="30" customHeight="1" x14ac:dyDescent="0.3"/>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30" customHeight="1" x14ac:dyDescent="0.3"/>
    <row r="62" ht="30" customHeight="1" x14ac:dyDescent="0.3"/>
    <row r="63" ht="30" customHeight="1" x14ac:dyDescent="0.3"/>
    <row r="6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7" ht="30" customHeight="1" x14ac:dyDescent="0.3"/>
    <row r="78" ht="30" customHeight="1" x14ac:dyDescent="0.3"/>
    <row r="79" ht="30" customHeight="1" x14ac:dyDescent="0.3"/>
    <row r="80" ht="30" customHeight="1" x14ac:dyDescent="0.3"/>
    <row r="81" ht="30" customHeight="1" x14ac:dyDescent="0.3"/>
    <row r="82" ht="30" customHeight="1" x14ac:dyDescent="0.3"/>
    <row r="83" ht="30" customHeight="1" x14ac:dyDescent="0.3"/>
    <row r="84" ht="30" customHeight="1" x14ac:dyDescent="0.3"/>
    <row r="85" ht="30" customHeight="1" x14ac:dyDescent="0.3"/>
    <row r="86" ht="30" customHeight="1" x14ac:dyDescent="0.3"/>
    <row r="87" ht="30" customHeight="1" x14ac:dyDescent="0.3"/>
    <row r="88" ht="30" customHeight="1" x14ac:dyDescent="0.3"/>
    <row r="89" ht="30" customHeight="1" x14ac:dyDescent="0.3"/>
    <row r="90" ht="30" customHeight="1" x14ac:dyDescent="0.3"/>
    <row r="91" ht="30" customHeight="1" x14ac:dyDescent="0.3"/>
    <row r="92" ht="30" customHeight="1" x14ac:dyDescent="0.3"/>
    <row r="93" ht="30" customHeight="1" x14ac:dyDescent="0.3"/>
    <row r="94" ht="30" customHeight="1" x14ac:dyDescent="0.3"/>
    <row r="95" ht="30" customHeight="1" x14ac:dyDescent="0.3"/>
    <row r="96" ht="30" customHeight="1" x14ac:dyDescent="0.3"/>
    <row r="97" ht="30" customHeight="1" x14ac:dyDescent="0.3"/>
    <row r="98" ht="30" customHeight="1" x14ac:dyDescent="0.3"/>
    <row r="99" ht="30" customHeight="1" x14ac:dyDescent="0.3"/>
    <row r="100" ht="30" customHeight="1" x14ac:dyDescent="0.3"/>
    <row r="101" ht="30" customHeight="1" x14ac:dyDescent="0.3"/>
    <row r="102" ht="30" customHeight="1" x14ac:dyDescent="0.3"/>
    <row r="103" ht="30" customHeight="1" x14ac:dyDescent="0.3"/>
    <row r="104" ht="30" customHeight="1" x14ac:dyDescent="0.3"/>
    <row r="105" ht="30" customHeight="1" x14ac:dyDescent="0.3"/>
    <row r="106" ht="30" customHeight="1" x14ac:dyDescent="0.3"/>
    <row r="107" ht="30" customHeight="1" x14ac:dyDescent="0.3"/>
    <row r="108" ht="30" customHeight="1" x14ac:dyDescent="0.3"/>
    <row r="109" ht="30" customHeight="1" x14ac:dyDescent="0.3"/>
    <row r="110" ht="30" customHeight="1" x14ac:dyDescent="0.3"/>
    <row r="111" ht="30" customHeight="1" x14ac:dyDescent="0.3"/>
    <row r="112" ht="30" customHeight="1" x14ac:dyDescent="0.3"/>
    <row r="113" ht="30" customHeight="1" x14ac:dyDescent="0.3"/>
    <row r="114" ht="30" customHeight="1" x14ac:dyDescent="0.3"/>
    <row r="115" ht="30" customHeight="1" x14ac:dyDescent="0.3"/>
    <row r="116" ht="30" customHeight="1" x14ac:dyDescent="0.3"/>
    <row r="117" ht="30" customHeight="1" x14ac:dyDescent="0.3"/>
    <row r="118" ht="30" customHeight="1" x14ac:dyDescent="0.3"/>
    <row r="119" ht="30" customHeight="1" x14ac:dyDescent="0.3"/>
    <row r="120" ht="30" customHeight="1" x14ac:dyDescent="0.3"/>
    <row r="121" ht="30" customHeight="1" x14ac:dyDescent="0.3"/>
    <row r="122" ht="30" customHeight="1" x14ac:dyDescent="0.3"/>
    <row r="123" ht="30" customHeight="1" x14ac:dyDescent="0.3"/>
    <row r="124" ht="30" customHeight="1" x14ac:dyDescent="0.3"/>
    <row r="125" ht="30" customHeight="1" x14ac:dyDescent="0.3"/>
    <row r="126" ht="30" customHeight="1" x14ac:dyDescent="0.3"/>
    <row r="127" ht="30" customHeight="1" x14ac:dyDescent="0.3"/>
    <row r="128" ht="30" customHeight="1" x14ac:dyDescent="0.3"/>
    <row r="129" ht="30" customHeight="1" x14ac:dyDescent="0.3"/>
    <row r="130" ht="30" customHeight="1" x14ac:dyDescent="0.3"/>
    <row r="131" ht="30" customHeight="1" x14ac:dyDescent="0.3"/>
    <row r="132" ht="30" customHeight="1" x14ac:dyDescent="0.3"/>
    <row r="133" ht="30" customHeight="1" x14ac:dyDescent="0.3"/>
    <row r="134" ht="30" customHeight="1" x14ac:dyDescent="0.3"/>
    <row r="135" ht="30" customHeight="1" x14ac:dyDescent="0.3"/>
    <row r="136" ht="30" customHeight="1" x14ac:dyDescent="0.3"/>
    <row r="137" ht="30" customHeight="1" x14ac:dyDescent="0.3"/>
    <row r="138" ht="30" customHeight="1" x14ac:dyDescent="0.3"/>
    <row r="139" ht="30" customHeight="1" x14ac:dyDescent="0.3"/>
    <row r="140" ht="30" customHeight="1" x14ac:dyDescent="0.3"/>
    <row r="141" ht="30" customHeight="1" x14ac:dyDescent="0.3"/>
    <row r="142" ht="30" customHeight="1" x14ac:dyDescent="0.3"/>
    <row r="143" ht="30" customHeight="1" x14ac:dyDescent="0.3"/>
    <row r="144" ht="30" customHeight="1" x14ac:dyDescent="0.3"/>
    <row r="145" ht="30" customHeight="1" x14ac:dyDescent="0.3"/>
    <row r="146" ht="30" customHeight="1" x14ac:dyDescent="0.3"/>
    <row r="147" ht="30" customHeight="1" x14ac:dyDescent="0.3"/>
    <row r="148" ht="30" customHeight="1" x14ac:dyDescent="0.3"/>
    <row r="149" ht="30" customHeight="1" x14ac:dyDescent="0.3"/>
    <row r="150" ht="30" customHeight="1" x14ac:dyDescent="0.3"/>
    <row r="151" ht="30" customHeight="1" x14ac:dyDescent="0.3"/>
    <row r="152" ht="30" customHeight="1" x14ac:dyDescent="0.3"/>
    <row r="153" ht="30" customHeight="1" x14ac:dyDescent="0.3"/>
    <row r="154" ht="30" customHeight="1" x14ac:dyDescent="0.3"/>
    <row r="155" ht="30" customHeight="1" x14ac:dyDescent="0.3"/>
    <row r="156" ht="30" customHeight="1" x14ac:dyDescent="0.3"/>
    <row r="157" ht="30" customHeight="1" x14ac:dyDescent="0.3"/>
    <row r="158" ht="30" customHeight="1" x14ac:dyDescent="0.3"/>
    <row r="159" ht="30" customHeight="1" x14ac:dyDescent="0.3"/>
    <row r="160" ht="30" customHeight="1" x14ac:dyDescent="0.3"/>
    <row r="161" ht="30" customHeight="1" x14ac:dyDescent="0.3"/>
    <row r="162" ht="30" customHeight="1" x14ac:dyDescent="0.3"/>
    <row r="163" ht="30" customHeight="1" x14ac:dyDescent="0.3"/>
    <row r="164" ht="30" customHeight="1" x14ac:dyDescent="0.3"/>
    <row r="165" ht="30" customHeight="1" x14ac:dyDescent="0.3"/>
    <row r="166" ht="30" customHeight="1" x14ac:dyDescent="0.3"/>
    <row r="167" ht="30" customHeight="1" x14ac:dyDescent="0.3"/>
    <row r="168" ht="30" customHeight="1" x14ac:dyDescent="0.3"/>
    <row r="169" ht="30" customHeight="1" x14ac:dyDescent="0.3"/>
    <row r="170" ht="30" customHeight="1" x14ac:dyDescent="0.3"/>
    <row r="171" ht="30" customHeight="1" x14ac:dyDescent="0.3"/>
    <row r="172" ht="30" customHeight="1" x14ac:dyDescent="0.3"/>
    <row r="173" ht="30" customHeight="1" x14ac:dyDescent="0.3"/>
    <row r="174" ht="30" customHeight="1" x14ac:dyDescent="0.3"/>
    <row r="175" ht="30" customHeight="1" x14ac:dyDescent="0.3"/>
    <row r="17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row r="348" ht="30" customHeight="1" x14ac:dyDescent="0.3"/>
    <row r="349" ht="30" customHeight="1" x14ac:dyDescent="0.3"/>
    <row r="350" ht="30" customHeight="1" x14ac:dyDescent="0.3"/>
    <row r="351" ht="30" customHeight="1" x14ac:dyDescent="0.3"/>
    <row r="352" ht="30" customHeight="1" x14ac:dyDescent="0.3"/>
    <row r="353" ht="30" customHeight="1" x14ac:dyDescent="0.3"/>
    <row r="354" ht="30" customHeight="1" x14ac:dyDescent="0.3"/>
    <row r="355" ht="30" customHeight="1" x14ac:dyDescent="0.3"/>
    <row r="356" ht="30" customHeight="1" x14ac:dyDescent="0.3"/>
    <row r="357" ht="30" customHeight="1" x14ac:dyDescent="0.3"/>
    <row r="358" ht="30" customHeight="1" x14ac:dyDescent="0.3"/>
    <row r="359" ht="30" customHeight="1" x14ac:dyDescent="0.3"/>
    <row r="360" ht="30" customHeight="1" x14ac:dyDescent="0.3"/>
    <row r="361" ht="30" customHeight="1" x14ac:dyDescent="0.3"/>
    <row r="362" ht="30" customHeight="1" x14ac:dyDescent="0.3"/>
    <row r="363" ht="30" customHeight="1" x14ac:dyDescent="0.3"/>
    <row r="364" ht="30" customHeight="1" x14ac:dyDescent="0.3"/>
    <row r="365" ht="30" customHeight="1" x14ac:dyDescent="0.3"/>
    <row r="366" ht="30" customHeight="1" x14ac:dyDescent="0.3"/>
    <row r="367" ht="30" customHeight="1" x14ac:dyDescent="0.3"/>
    <row r="368" ht="30" customHeight="1" x14ac:dyDescent="0.3"/>
    <row r="369" ht="30" customHeight="1" x14ac:dyDescent="0.3"/>
    <row r="370" ht="30" customHeight="1" x14ac:dyDescent="0.3"/>
    <row r="371" ht="30" customHeight="1" x14ac:dyDescent="0.3"/>
    <row r="372" ht="30" customHeight="1" x14ac:dyDescent="0.3"/>
    <row r="373" ht="30" customHeight="1" x14ac:dyDescent="0.3"/>
    <row r="374" ht="30" customHeight="1" x14ac:dyDescent="0.3"/>
    <row r="375" ht="30" customHeight="1" x14ac:dyDescent="0.3"/>
    <row r="376" ht="30" customHeight="1" x14ac:dyDescent="0.3"/>
    <row r="377" ht="30" customHeight="1" x14ac:dyDescent="0.3"/>
    <row r="378" ht="30" customHeight="1" x14ac:dyDescent="0.3"/>
    <row r="379" ht="30" customHeight="1" x14ac:dyDescent="0.3"/>
    <row r="380" ht="30" customHeight="1" x14ac:dyDescent="0.3"/>
    <row r="381" ht="30" customHeight="1" x14ac:dyDescent="0.3"/>
    <row r="382" ht="30" customHeight="1" x14ac:dyDescent="0.3"/>
    <row r="383" ht="30" customHeight="1" x14ac:dyDescent="0.3"/>
    <row r="384" ht="30" customHeight="1" x14ac:dyDescent="0.3"/>
    <row r="385" ht="30" customHeight="1" x14ac:dyDescent="0.3"/>
    <row r="386" ht="30" customHeight="1" x14ac:dyDescent="0.3"/>
    <row r="387" ht="30" customHeight="1" x14ac:dyDescent="0.3"/>
    <row r="388" ht="30" customHeight="1" x14ac:dyDescent="0.3"/>
    <row r="389" ht="30" customHeight="1" x14ac:dyDescent="0.3"/>
    <row r="390" ht="30" customHeight="1" x14ac:dyDescent="0.3"/>
    <row r="391" ht="30" customHeight="1" x14ac:dyDescent="0.3"/>
    <row r="392" ht="30" customHeight="1" x14ac:dyDescent="0.3"/>
    <row r="393" ht="30" customHeight="1" x14ac:dyDescent="0.3"/>
    <row r="394" ht="30" customHeight="1" x14ac:dyDescent="0.3"/>
    <row r="395" ht="30" customHeight="1" x14ac:dyDescent="0.3"/>
    <row r="396" ht="30" customHeight="1" x14ac:dyDescent="0.3"/>
    <row r="397" ht="30" customHeight="1" x14ac:dyDescent="0.3"/>
    <row r="398" ht="30" customHeight="1" x14ac:dyDescent="0.3"/>
    <row r="399" ht="30" customHeight="1" x14ac:dyDescent="0.3"/>
    <row r="400" ht="30" customHeight="1" x14ac:dyDescent="0.3"/>
    <row r="401" ht="30" customHeight="1" x14ac:dyDescent="0.3"/>
    <row r="402" ht="30" customHeight="1" x14ac:dyDescent="0.3"/>
    <row r="403" ht="30" customHeight="1" x14ac:dyDescent="0.3"/>
    <row r="404" ht="30" customHeight="1" x14ac:dyDescent="0.3"/>
    <row r="405" ht="30" customHeight="1" x14ac:dyDescent="0.3"/>
    <row r="406" ht="30" customHeight="1" x14ac:dyDescent="0.3"/>
    <row r="407" ht="30" customHeight="1" x14ac:dyDescent="0.3"/>
    <row r="408" ht="30" customHeight="1" x14ac:dyDescent="0.3"/>
    <row r="409" ht="30" customHeight="1" x14ac:dyDescent="0.3"/>
    <row r="410" ht="30" customHeight="1" x14ac:dyDescent="0.3"/>
    <row r="411" ht="30" customHeight="1" x14ac:dyDescent="0.3"/>
    <row r="412" ht="30" customHeight="1" x14ac:dyDescent="0.3"/>
    <row r="413" ht="30" customHeight="1" x14ac:dyDescent="0.3"/>
    <row r="414" ht="30" customHeight="1" x14ac:dyDescent="0.3"/>
    <row r="415" ht="30" customHeight="1" x14ac:dyDescent="0.3"/>
    <row r="416" ht="30" customHeight="1" x14ac:dyDescent="0.3"/>
    <row r="417" ht="30" customHeight="1" x14ac:dyDescent="0.3"/>
    <row r="418" ht="30" customHeight="1" x14ac:dyDescent="0.3"/>
    <row r="419" ht="30" customHeight="1" x14ac:dyDescent="0.3"/>
    <row r="420" ht="30" customHeight="1" x14ac:dyDescent="0.3"/>
    <row r="421" ht="30" customHeight="1" x14ac:dyDescent="0.3"/>
    <row r="422" ht="30" customHeight="1" x14ac:dyDescent="0.3"/>
    <row r="423" ht="30" customHeight="1" x14ac:dyDescent="0.3"/>
  </sheetData>
  <mergeCells count="156">
    <mergeCell ref="B2:AT3"/>
    <mergeCell ref="B5:D5"/>
    <mergeCell ref="E5:N5"/>
    <mergeCell ref="P5:T5"/>
    <mergeCell ref="B6:D6"/>
    <mergeCell ref="E6:N6"/>
    <mergeCell ref="P6:T6"/>
    <mergeCell ref="B7:T7"/>
    <mergeCell ref="B8:T11"/>
    <mergeCell ref="B13:D13"/>
    <mergeCell ref="E13:F14"/>
    <mergeCell ref="G13:H14"/>
    <mergeCell ref="I13:J14"/>
    <mergeCell ref="K13:L14"/>
    <mergeCell ref="M13:O13"/>
    <mergeCell ref="P13:AL13"/>
    <mergeCell ref="AM13:AT13"/>
    <mergeCell ref="C14:D14"/>
    <mergeCell ref="P14:V14"/>
    <mergeCell ref="W14:X14"/>
    <mergeCell ref="Y14:Z14"/>
    <mergeCell ref="AA14:AL14"/>
    <mergeCell ref="AM14:AO14"/>
    <mergeCell ref="AP14:AT14"/>
    <mergeCell ref="AM15:AO15"/>
    <mergeCell ref="AP15:AT15"/>
    <mergeCell ref="C16:D16"/>
    <mergeCell ref="E16:F16"/>
    <mergeCell ref="G16:H16"/>
    <mergeCell ref="I16:J16"/>
    <mergeCell ref="K16:L16"/>
    <mergeCell ref="P16:V16"/>
    <mergeCell ref="W16:X16"/>
    <mergeCell ref="Y16:Z16"/>
    <mergeCell ref="AA16:AL16"/>
    <mergeCell ref="AM16:AO16"/>
    <mergeCell ref="AP16:AT16"/>
    <mergeCell ref="C15:D15"/>
    <mergeCell ref="E15:F15"/>
    <mergeCell ref="G15:H15"/>
    <mergeCell ref="I15:J15"/>
    <mergeCell ref="K15:L15"/>
    <mergeCell ref="P15:V15"/>
    <mergeCell ref="W15:X15"/>
    <mergeCell ref="Y15:Z15"/>
    <mergeCell ref="AA15:AL15"/>
    <mergeCell ref="AM17:AO17"/>
    <mergeCell ref="AP17:AT17"/>
    <mergeCell ref="C18:D18"/>
    <mergeCell ref="E18:F18"/>
    <mergeCell ref="G18:H18"/>
    <mergeCell ref="I18:J18"/>
    <mergeCell ref="K18:L18"/>
    <mergeCell ref="P18:V18"/>
    <mergeCell ref="W18:X18"/>
    <mergeCell ref="Y18:Z18"/>
    <mergeCell ref="AA18:AL18"/>
    <mergeCell ref="AM18:AO18"/>
    <mergeCell ref="AP18:AT18"/>
    <mergeCell ref="C17:D17"/>
    <mergeCell ref="E17:F17"/>
    <mergeCell ref="G17:H17"/>
    <mergeCell ref="I17:J17"/>
    <mergeCell ref="K17:L17"/>
    <mergeCell ref="P17:V17"/>
    <mergeCell ref="W17:X17"/>
    <mergeCell ref="Y17:Z17"/>
    <mergeCell ref="AA17:AL17"/>
    <mergeCell ref="AM19:AO19"/>
    <mergeCell ref="AP19:AT19"/>
    <mergeCell ref="C20:D20"/>
    <mergeCell ref="E20:F20"/>
    <mergeCell ref="G20:H20"/>
    <mergeCell ref="I20:J20"/>
    <mergeCell ref="K20:L20"/>
    <mergeCell ref="P20:V20"/>
    <mergeCell ref="W20:X20"/>
    <mergeCell ref="Y20:Z20"/>
    <mergeCell ref="AA20:AL20"/>
    <mergeCell ref="AM20:AO20"/>
    <mergeCell ref="AP20:AT20"/>
    <mergeCell ref="C19:D19"/>
    <mergeCell ref="E19:F19"/>
    <mergeCell ref="G19:H19"/>
    <mergeCell ref="I19:J19"/>
    <mergeCell ref="K19:L19"/>
    <mergeCell ref="P19:V19"/>
    <mergeCell ref="W19:X19"/>
    <mergeCell ref="Y19:Z19"/>
    <mergeCell ref="AA19:AL19"/>
    <mergeCell ref="AM21:AO21"/>
    <mergeCell ref="AP21:AT21"/>
    <mergeCell ref="C22:D22"/>
    <mergeCell ref="E22:F22"/>
    <mergeCell ref="G22:H22"/>
    <mergeCell ref="I22:J22"/>
    <mergeCell ref="K22:L22"/>
    <mergeCell ref="P22:V22"/>
    <mergeCell ref="W22:X22"/>
    <mergeCell ref="Y22:Z22"/>
    <mergeCell ref="AA22:AL22"/>
    <mergeCell ref="AM22:AO22"/>
    <mergeCell ref="AP22:AT22"/>
    <mergeCell ref="C21:D21"/>
    <mergeCell ref="E21:F21"/>
    <mergeCell ref="G21:H21"/>
    <mergeCell ref="I21:J21"/>
    <mergeCell ref="K21:L21"/>
    <mergeCell ref="P21:V21"/>
    <mergeCell ref="W21:X21"/>
    <mergeCell ref="Y21:Z21"/>
    <mergeCell ref="AA21:AL21"/>
    <mergeCell ref="AM23:AO23"/>
    <mergeCell ref="AP23:AT23"/>
    <mergeCell ref="C24:D24"/>
    <mergeCell ref="E24:F24"/>
    <mergeCell ref="G24:H24"/>
    <mergeCell ref="I24:J24"/>
    <mergeCell ref="K24:L24"/>
    <mergeCell ref="P24:V24"/>
    <mergeCell ref="W24:X24"/>
    <mergeCell ref="Y24:Z24"/>
    <mergeCell ref="AA24:AL24"/>
    <mergeCell ref="AM24:AO24"/>
    <mergeCell ref="AP24:AT24"/>
    <mergeCell ref="C23:D23"/>
    <mergeCell ref="E23:F23"/>
    <mergeCell ref="G23:H23"/>
    <mergeCell ref="I23:J23"/>
    <mergeCell ref="K23:L23"/>
    <mergeCell ref="P23:V23"/>
    <mergeCell ref="W23:X23"/>
    <mergeCell ref="Y23:Z23"/>
    <mergeCell ref="AA23:AL23"/>
    <mergeCell ref="AM25:AO25"/>
    <mergeCell ref="AP25:AT25"/>
    <mergeCell ref="C26:D26"/>
    <mergeCell ref="E26:F26"/>
    <mergeCell ref="G26:H26"/>
    <mergeCell ref="I26:J26"/>
    <mergeCell ref="K26:L26"/>
    <mergeCell ref="P26:V26"/>
    <mergeCell ref="W26:X26"/>
    <mergeCell ref="Y26:Z26"/>
    <mergeCell ref="AA26:AL26"/>
    <mergeCell ref="AM26:AO26"/>
    <mergeCell ref="AP26:AT26"/>
    <mergeCell ref="C25:D25"/>
    <mergeCell ref="E25:F25"/>
    <mergeCell ref="G25:H25"/>
    <mergeCell ref="I25:J25"/>
    <mergeCell ref="K25:L25"/>
    <mergeCell ref="P25:V25"/>
    <mergeCell ref="W25:X25"/>
    <mergeCell ref="Y25:Z25"/>
    <mergeCell ref="AA25:AL25"/>
  </mergeCells>
  <phoneticPr fontId="45" type="noConversion"/>
  <pageMargins left="0.7" right="0.7" top="0.75" bottom="0.75" header="0.51180555555555496" footer="0.51180555555555496"/>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68"/>
  <sheetViews>
    <sheetView zoomScale="85" zoomScaleNormal="85" workbookViewId="0">
      <selection activeCell="B4" sqref="B4"/>
    </sheetView>
  </sheetViews>
  <sheetFormatPr defaultRowHeight="16.5" x14ac:dyDescent="0.3"/>
  <cols>
    <col min="1" max="1" width="3.375" customWidth="1"/>
    <col min="2" max="1025" width="9" customWidth="1"/>
  </cols>
  <sheetData>
    <row r="2" spans="2:20" ht="24.95" customHeight="1" x14ac:dyDescent="0.3">
      <c r="B2" s="391" t="s">
        <v>0</v>
      </c>
      <c r="C2" s="391"/>
      <c r="D2" s="391"/>
      <c r="E2" s="392" t="s">
        <v>1</v>
      </c>
      <c r="F2" s="392"/>
      <c r="G2" s="392"/>
      <c r="H2" s="392"/>
      <c r="I2" s="392"/>
      <c r="J2" s="392"/>
      <c r="K2" s="392"/>
      <c r="L2" s="392"/>
      <c r="M2" s="393" t="s">
        <v>2</v>
      </c>
      <c r="N2" s="393"/>
      <c r="O2" s="393"/>
      <c r="P2" s="394" t="str">
        <f>'00_팀프로젝트_큰틀'!P2</f>
        <v>홍길순</v>
      </c>
      <c r="Q2" s="394"/>
      <c r="R2" s="394"/>
      <c r="S2" s="394"/>
      <c r="T2" s="394"/>
    </row>
    <row r="3" spans="2:20" ht="24.95" customHeight="1" x14ac:dyDescent="0.3">
      <c r="B3" s="240" t="s">
        <v>4</v>
      </c>
      <c r="C3" s="240"/>
      <c r="D3" s="240"/>
      <c r="E3" s="241" t="s">
        <v>5</v>
      </c>
      <c r="F3" s="241"/>
      <c r="G3" s="241"/>
      <c r="H3" s="241"/>
      <c r="I3" s="241"/>
      <c r="J3" s="241"/>
      <c r="K3" s="241"/>
      <c r="L3" s="241"/>
      <c r="M3" s="242" t="s">
        <v>6</v>
      </c>
      <c r="N3" s="242"/>
      <c r="O3" s="242"/>
      <c r="P3" s="375">
        <v>44806</v>
      </c>
      <c r="Q3" s="375"/>
      <c r="R3" s="375"/>
      <c r="S3" s="375"/>
      <c r="T3" s="375"/>
    </row>
    <row r="4" spans="2:20" ht="24.95" customHeight="1" x14ac:dyDescent="0.3">
      <c r="B4" s="361" t="s">
        <v>61</v>
      </c>
      <c r="C4" s="361"/>
      <c r="D4" s="361"/>
      <c r="E4" s="361"/>
      <c r="F4" s="361"/>
      <c r="G4" s="361"/>
      <c r="H4" s="361"/>
      <c r="I4" s="361"/>
      <c r="J4" s="361"/>
      <c r="K4" s="361"/>
      <c r="L4" s="361"/>
      <c r="M4" s="361"/>
      <c r="N4" s="361"/>
      <c r="O4" s="361"/>
      <c r="P4" s="361"/>
      <c r="Q4" s="361"/>
      <c r="R4" s="361"/>
      <c r="S4" s="361"/>
      <c r="T4" s="361"/>
    </row>
    <row r="5" spans="2:20" ht="24.95" customHeight="1" x14ac:dyDescent="0.3">
      <c r="B5" s="390" t="s">
        <v>882</v>
      </c>
      <c r="C5" s="390"/>
      <c r="D5" s="390"/>
      <c r="E5" s="390"/>
      <c r="F5" s="390"/>
      <c r="G5" s="390"/>
      <c r="H5" s="390"/>
      <c r="I5" s="390"/>
      <c r="J5" s="390"/>
      <c r="K5" s="390"/>
      <c r="L5" s="390"/>
      <c r="M5" s="390"/>
      <c r="N5" s="390"/>
      <c r="O5" s="390"/>
      <c r="P5" s="390"/>
      <c r="Q5" s="390"/>
      <c r="R5" s="390"/>
      <c r="S5" s="390"/>
      <c r="T5" s="390"/>
    </row>
    <row r="6" spans="2:20" ht="39.950000000000003" customHeight="1" x14ac:dyDescent="0.3">
      <c r="B6" s="390"/>
      <c r="C6" s="390"/>
      <c r="D6" s="390"/>
      <c r="E6" s="390"/>
      <c r="F6" s="390"/>
      <c r="G6" s="390"/>
      <c r="H6" s="390"/>
      <c r="I6" s="390"/>
      <c r="J6" s="390"/>
      <c r="K6" s="390"/>
      <c r="L6" s="390"/>
      <c r="M6" s="390"/>
      <c r="N6" s="390"/>
      <c r="O6" s="390"/>
      <c r="P6" s="390"/>
      <c r="Q6" s="390"/>
      <c r="R6" s="390"/>
      <c r="S6" s="390"/>
      <c r="T6" s="390"/>
    </row>
    <row r="7" spans="2:20" ht="39.950000000000003" customHeight="1" x14ac:dyDescent="0.3">
      <c r="B7" s="390"/>
      <c r="C7" s="390"/>
      <c r="D7" s="390"/>
      <c r="E7" s="390"/>
      <c r="F7" s="390"/>
      <c r="G7" s="390"/>
      <c r="H7" s="390"/>
      <c r="I7" s="390"/>
      <c r="J7" s="390"/>
      <c r="K7" s="390"/>
      <c r="L7" s="390"/>
      <c r="M7" s="390"/>
      <c r="N7" s="390"/>
      <c r="O7" s="390"/>
      <c r="P7" s="390"/>
      <c r="Q7" s="390"/>
      <c r="R7" s="390"/>
      <c r="S7" s="390"/>
      <c r="T7" s="390"/>
    </row>
    <row r="8" spans="2:20" ht="39.950000000000003" customHeight="1" x14ac:dyDescent="0.3">
      <c r="B8" s="390"/>
      <c r="C8" s="390"/>
      <c r="D8" s="390"/>
      <c r="E8" s="390"/>
      <c r="F8" s="390"/>
      <c r="G8" s="390"/>
      <c r="H8" s="390"/>
      <c r="I8" s="390"/>
      <c r="J8" s="390"/>
      <c r="K8" s="390"/>
      <c r="L8" s="390"/>
      <c r="M8" s="390"/>
      <c r="N8" s="390"/>
      <c r="O8" s="390"/>
      <c r="P8" s="390"/>
      <c r="Q8" s="390"/>
      <c r="R8" s="390"/>
      <c r="S8" s="390"/>
      <c r="T8" s="390"/>
    </row>
    <row r="10" spans="2:20" ht="30" customHeight="1" x14ac:dyDescent="0.3">
      <c r="B10" s="255" t="s">
        <v>883</v>
      </c>
      <c r="C10" s="255"/>
      <c r="D10" s="255"/>
      <c r="E10" s="255"/>
      <c r="F10" s="255"/>
      <c r="G10" s="255"/>
      <c r="H10" s="255"/>
      <c r="I10" s="255"/>
      <c r="J10" s="255"/>
      <c r="K10" s="255"/>
      <c r="L10" s="255"/>
      <c r="M10" s="255"/>
      <c r="N10" s="255"/>
      <c r="O10" s="255"/>
      <c r="P10" s="255"/>
      <c r="Q10" s="255"/>
      <c r="R10" s="255"/>
      <c r="S10" s="255"/>
      <c r="T10" s="255"/>
    </row>
    <row r="11" spans="2:20" ht="30" customHeight="1" x14ac:dyDescent="0.3">
      <c r="B11" s="255"/>
      <c r="C11" s="255"/>
      <c r="D11" s="255"/>
      <c r="E11" s="255"/>
      <c r="F11" s="255"/>
      <c r="G11" s="255"/>
      <c r="H11" s="255"/>
      <c r="I11" s="255"/>
      <c r="J11" s="255"/>
      <c r="K11" s="255"/>
      <c r="L11" s="255"/>
      <c r="M11" s="255"/>
      <c r="N11" s="255"/>
      <c r="O11" s="255"/>
      <c r="P11" s="255"/>
      <c r="Q11" s="255"/>
      <c r="R11" s="255"/>
      <c r="S11" s="255"/>
      <c r="T11" s="255"/>
    </row>
    <row r="13" spans="2:20" ht="30" customHeight="1" x14ac:dyDescent="0.3">
      <c r="B13" s="444" t="s">
        <v>884</v>
      </c>
      <c r="C13" s="444"/>
      <c r="D13" s="444"/>
      <c r="E13" s="446"/>
      <c r="F13" s="446"/>
      <c r="G13" s="446"/>
      <c r="H13" s="446"/>
      <c r="I13" s="446"/>
      <c r="J13" s="446"/>
      <c r="K13" s="446"/>
      <c r="L13" s="446"/>
      <c r="M13" s="446"/>
      <c r="N13" s="446"/>
      <c r="O13" s="446"/>
      <c r="P13" s="446"/>
      <c r="Q13" s="446"/>
      <c r="R13" s="446"/>
      <c r="S13" s="446"/>
      <c r="T13" s="446"/>
    </row>
    <row r="14" spans="2:20" ht="30" customHeight="1" x14ac:dyDescent="0.3">
      <c r="B14" s="442" t="s">
        <v>885</v>
      </c>
      <c r="C14" s="442"/>
      <c r="D14" s="442"/>
      <c r="E14" s="442"/>
      <c r="F14" s="442"/>
      <c r="G14" s="442"/>
      <c r="H14" s="442"/>
      <c r="I14" s="442"/>
      <c r="J14" s="442"/>
      <c r="K14" s="442"/>
      <c r="L14" s="442"/>
      <c r="M14" s="442"/>
      <c r="N14" s="442"/>
      <c r="O14" s="442"/>
      <c r="P14" s="442"/>
      <c r="Q14" s="442"/>
      <c r="R14" s="442"/>
      <c r="S14" s="442"/>
      <c r="T14" s="442"/>
    </row>
    <row r="15" spans="2:20" ht="30" customHeight="1" x14ac:dyDescent="0.3">
      <c r="B15" s="443"/>
      <c r="C15" s="443"/>
      <c r="D15" s="443"/>
      <c r="E15" s="443"/>
      <c r="F15" s="443"/>
      <c r="G15" s="443"/>
      <c r="H15" s="443"/>
      <c r="I15" s="443"/>
      <c r="J15" s="443"/>
      <c r="K15" s="443"/>
      <c r="L15" s="443"/>
      <c r="M15" s="443"/>
      <c r="N15" s="443"/>
      <c r="O15" s="443"/>
      <c r="P15" s="443"/>
      <c r="Q15" s="443"/>
      <c r="R15" s="443"/>
      <c r="S15" s="443"/>
      <c r="T15" s="443"/>
    </row>
    <row r="16" spans="2:20" ht="30" customHeight="1" x14ac:dyDescent="0.3">
      <c r="B16" s="443"/>
      <c r="C16" s="443"/>
      <c r="D16" s="443"/>
      <c r="E16" s="443"/>
      <c r="F16" s="443"/>
      <c r="G16" s="443"/>
      <c r="H16" s="443"/>
      <c r="I16" s="443"/>
      <c r="J16" s="443"/>
      <c r="K16" s="443"/>
      <c r="L16" s="443"/>
      <c r="M16" s="443"/>
      <c r="N16" s="443"/>
      <c r="O16" s="443"/>
      <c r="P16" s="443"/>
      <c r="Q16" s="443"/>
      <c r="R16" s="443"/>
      <c r="S16" s="443"/>
      <c r="T16" s="443"/>
    </row>
    <row r="17" spans="2:20" ht="30" customHeight="1" x14ac:dyDescent="0.3">
      <c r="B17" s="443"/>
      <c r="C17" s="443"/>
      <c r="D17" s="443"/>
      <c r="E17" s="443"/>
      <c r="F17" s="443"/>
      <c r="G17" s="443"/>
      <c r="H17" s="443"/>
      <c r="I17" s="443"/>
      <c r="J17" s="443"/>
      <c r="K17" s="443"/>
      <c r="L17" s="443"/>
      <c r="M17" s="443"/>
      <c r="N17" s="443"/>
      <c r="O17" s="443"/>
      <c r="P17" s="443"/>
      <c r="Q17" s="443"/>
      <c r="R17" s="443"/>
      <c r="S17" s="443"/>
      <c r="T17" s="443"/>
    </row>
    <row r="18" spans="2:20" ht="30" customHeight="1" x14ac:dyDescent="0.3">
      <c r="B18" s="443"/>
      <c r="C18" s="443"/>
      <c r="D18" s="443"/>
      <c r="E18" s="443"/>
      <c r="F18" s="443"/>
      <c r="G18" s="443"/>
      <c r="H18" s="443"/>
      <c r="I18" s="443"/>
      <c r="J18" s="443"/>
      <c r="K18" s="443"/>
      <c r="L18" s="443"/>
      <c r="M18" s="443"/>
      <c r="N18" s="443"/>
      <c r="O18" s="443"/>
      <c r="P18" s="443"/>
      <c r="Q18" s="443"/>
      <c r="R18" s="443"/>
      <c r="S18" s="443"/>
      <c r="T18" s="443"/>
    </row>
    <row r="19" spans="2:20" ht="30" customHeight="1" x14ac:dyDescent="0.3">
      <c r="B19" s="443"/>
      <c r="C19" s="443"/>
      <c r="D19" s="443"/>
      <c r="E19" s="443"/>
      <c r="F19" s="443"/>
      <c r="G19" s="443"/>
      <c r="H19" s="443"/>
      <c r="I19" s="443"/>
      <c r="J19" s="443"/>
      <c r="K19" s="443"/>
      <c r="L19" s="443"/>
      <c r="M19" s="443"/>
      <c r="N19" s="443"/>
      <c r="O19" s="443"/>
      <c r="P19" s="443"/>
      <c r="Q19" s="443"/>
      <c r="R19" s="443"/>
      <c r="S19" s="443"/>
      <c r="T19" s="443"/>
    </row>
    <row r="20" spans="2:20" ht="30" customHeight="1" x14ac:dyDescent="0.3">
      <c r="B20" s="443"/>
      <c r="C20" s="443"/>
      <c r="D20" s="443"/>
      <c r="E20" s="443"/>
      <c r="F20" s="443"/>
      <c r="G20" s="443"/>
      <c r="H20" s="443"/>
      <c r="I20" s="443"/>
      <c r="J20" s="443"/>
      <c r="K20" s="443"/>
      <c r="L20" s="443"/>
      <c r="M20" s="443"/>
      <c r="N20" s="443"/>
      <c r="O20" s="443"/>
      <c r="P20" s="443"/>
      <c r="Q20" s="443"/>
      <c r="R20" s="443"/>
      <c r="S20" s="443"/>
      <c r="T20" s="443"/>
    </row>
    <row r="21" spans="2:20" ht="30" customHeight="1" x14ac:dyDescent="0.3">
      <c r="B21" s="443"/>
      <c r="C21" s="443"/>
      <c r="D21" s="443"/>
      <c r="E21" s="443"/>
      <c r="F21" s="443"/>
      <c r="G21" s="443"/>
      <c r="H21" s="443"/>
      <c r="I21" s="443"/>
      <c r="J21" s="443"/>
      <c r="K21" s="443"/>
      <c r="L21" s="443"/>
      <c r="M21" s="443"/>
      <c r="N21" s="443"/>
      <c r="O21" s="443"/>
      <c r="P21" s="443"/>
      <c r="Q21" s="443"/>
      <c r="R21" s="443"/>
      <c r="S21" s="443"/>
      <c r="T21" s="443"/>
    </row>
    <row r="22" spans="2:20" ht="30" customHeight="1" x14ac:dyDescent="0.3">
      <c r="B22" s="443"/>
      <c r="C22" s="443"/>
      <c r="D22" s="443"/>
      <c r="E22" s="443"/>
      <c r="F22" s="443"/>
      <c r="G22" s="443"/>
      <c r="H22" s="443"/>
      <c r="I22" s="443"/>
      <c r="J22" s="443"/>
      <c r="K22" s="443"/>
      <c r="L22" s="443"/>
      <c r="M22" s="443"/>
      <c r="N22" s="443"/>
      <c r="O22" s="443"/>
      <c r="P22" s="443"/>
      <c r="Q22" s="443"/>
      <c r="R22" s="443"/>
      <c r="S22" s="443"/>
      <c r="T22" s="443"/>
    </row>
    <row r="23" spans="2:20" ht="30" customHeight="1" x14ac:dyDescent="0.3">
      <c r="B23" s="443"/>
      <c r="C23" s="443"/>
      <c r="D23" s="443"/>
      <c r="E23" s="443"/>
      <c r="F23" s="443"/>
      <c r="G23" s="443"/>
      <c r="H23" s="443"/>
      <c r="I23" s="443"/>
      <c r="J23" s="443"/>
      <c r="K23" s="443"/>
      <c r="L23" s="443"/>
      <c r="M23" s="443"/>
      <c r="N23" s="443"/>
      <c r="O23" s="443"/>
      <c r="P23" s="443"/>
      <c r="Q23" s="443"/>
      <c r="R23" s="443"/>
      <c r="S23" s="443"/>
      <c r="T23" s="443"/>
    </row>
    <row r="24" spans="2:20" ht="30" customHeight="1" x14ac:dyDescent="0.3">
      <c r="B24" s="443"/>
      <c r="C24" s="443"/>
      <c r="D24" s="443"/>
      <c r="E24" s="443"/>
      <c r="F24" s="443"/>
      <c r="G24" s="443"/>
      <c r="H24" s="443"/>
      <c r="I24" s="443"/>
      <c r="J24" s="443"/>
      <c r="K24" s="443"/>
      <c r="L24" s="443"/>
      <c r="M24" s="443"/>
      <c r="N24" s="443"/>
      <c r="O24" s="443"/>
      <c r="P24" s="443"/>
      <c r="Q24" s="443"/>
      <c r="R24" s="443"/>
      <c r="S24" s="443"/>
      <c r="T24" s="443"/>
    </row>
    <row r="25" spans="2:20" ht="30" customHeight="1" x14ac:dyDescent="0.3">
      <c r="B25" s="443"/>
      <c r="C25" s="443"/>
      <c r="D25" s="443"/>
      <c r="E25" s="443"/>
      <c r="F25" s="443"/>
      <c r="G25" s="443"/>
      <c r="H25" s="443"/>
      <c r="I25" s="443"/>
      <c r="J25" s="443"/>
      <c r="K25" s="443"/>
      <c r="L25" s="443"/>
      <c r="M25" s="443"/>
      <c r="N25" s="443"/>
      <c r="O25" s="443"/>
      <c r="P25" s="443"/>
      <c r="Q25" s="443"/>
      <c r="R25" s="443"/>
      <c r="S25" s="443"/>
      <c r="T25" s="443"/>
    </row>
    <row r="26" spans="2:20" ht="30" customHeight="1" x14ac:dyDescent="0.3">
      <c r="B26" s="443"/>
      <c r="C26" s="443"/>
      <c r="D26" s="443"/>
      <c r="E26" s="443"/>
      <c r="F26" s="443"/>
      <c r="G26" s="443"/>
      <c r="H26" s="443"/>
      <c r="I26" s="443"/>
      <c r="J26" s="443"/>
      <c r="K26" s="443"/>
      <c r="L26" s="443"/>
      <c r="M26" s="443"/>
      <c r="N26" s="443"/>
      <c r="O26" s="443"/>
      <c r="P26" s="443"/>
      <c r="Q26" s="443"/>
      <c r="R26" s="443"/>
      <c r="S26" s="443"/>
      <c r="T26" s="443"/>
    </row>
    <row r="27" spans="2:20" ht="30" customHeight="1" x14ac:dyDescent="0.3">
      <c r="B27" s="443"/>
      <c r="C27" s="443"/>
      <c r="D27" s="443"/>
      <c r="E27" s="443"/>
      <c r="F27" s="443"/>
      <c r="G27" s="443"/>
      <c r="H27" s="443"/>
      <c r="I27" s="443"/>
      <c r="J27" s="443"/>
      <c r="K27" s="443"/>
      <c r="L27" s="443"/>
      <c r="M27" s="443"/>
      <c r="N27" s="443"/>
      <c r="O27" s="443"/>
      <c r="P27" s="443"/>
      <c r="Q27" s="443"/>
      <c r="R27" s="443"/>
      <c r="S27" s="443"/>
      <c r="T27" s="443"/>
    </row>
    <row r="28" spans="2:20" ht="30" customHeight="1" x14ac:dyDescent="0.3">
      <c r="B28" s="443"/>
      <c r="C28" s="443"/>
      <c r="D28" s="443"/>
      <c r="E28" s="443"/>
      <c r="F28" s="443"/>
      <c r="G28" s="443"/>
      <c r="H28" s="443"/>
      <c r="I28" s="443"/>
      <c r="J28" s="443"/>
      <c r="K28" s="443"/>
      <c r="L28" s="443"/>
      <c r="M28" s="443"/>
      <c r="N28" s="443"/>
      <c r="O28" s="443"/>
      <c r="P28" s="443"/>
      <c r="Q28" s="443"/>
      <c r="R28" s="443"/>
      <c r="S28" s="443"/>
      <c r="T28" s="443"/>
    </row>
    <row r="29" spans="2:20" ht="30" customHeight="1" x14ac:dyDescent="0.3">
      <c r="B29" s="443"/>
      <c r="C29" s="443"/>
      <c r="D29" s="443"/>
      <c r="E29" s="443"/>
      <c r="F29" s="443"/>
      <c r="G29" s="443"/>
      <c r="H29" s="443"/>
      <c r="I29" s="443"/>
      <c r="J29" s="443"/>
      <c r="K29" s="443"/>
      <c r="L29" s="443"/>
      <c r="M29" s="443"/>
      <c r="N29" s="443"/>
      <c r="O29" s="443"/>
      <c r="P29" s="443"/>
      <c r="Q29" s="443"/>
      <c r="R29" s="443"/>
      <c r="S29" s="443"/>
      <c r="T29" s="443"/>
    </row>
    <row r="30" spans="2:20" ht="30" customHeight="1" x14ac:dyDescent="0.3">
      <c r="B30" s="443"/>
      <c r="C30" s="443"/>
      <c r="D30" s="443"/>
      <c r="E30" s="443"/>
      <c r="F30" s="443"/>
      <c r="G30" s="443"/>
      <c r="H30" s="443"/>
      <c r="I30" s="443"/>
      <c r="J30" s="443"/>
      <c r="K30" s="443"/>
      <c r="L30" s="443"/>
      <c r="M30" s="443"/>
      <c r="N30" s="443"/>
      <c r="O30" s="443"/>
      <c r="P30" s="443"/>
      <c r="Q30" s="443"/>
      <c r="R30" s="443"/>
      <c r="S30" s="443"/>
      <c r="T30" s="443"/>
    </row>
    <row r="31" spans="2:20" ht="30" customHeight="1" x14ac:dyDescent="0.3">
      <c r="B31" s="443"/>
      <c r="C31" s="443"/>
      <c r="D31" s="443"/>
      <c r="E31" s="443"/>
      <c r="F31" s="443"/>
      <c r="G31" s="443"/>
      <c r="H31" s="443"/>
      <c r="I31" s="443"/>
      <c r="J31" s="443"/>
      <c r="K31" s="443"/>
      <c r="L31" s="443"/>
      <c r="M31" s="443"/>
      <c r="N31" s="443"/>
      <c r="O31" s="443"/>
      <c r="P31" s="443"/>
      <c r="Q31" s="443"/>
      <c r="R31" s="443"/>
      <c r="S31" s="443"/>
      <c r="T31" s="443"/>
    </row>
    <row r="32" spans="2:20" ht="30" customHeight="1" x14ac:dyDescent="0.3">
      <c r="B32" s="443"/>
      <c r="C32" s="443"/>
      <c r="D32" s="443"/>
      <c r="E32" s="443"/>
      <c r="F32" s="443"/>
      <c r="G32" s="443"/>
      <c r="H32" s="443"/>
      <c r="I32" s="443"/>
      <c r="J32" s="443"/>
      <c r="K32" s="443"/>
      <c r="L32" s="443"/>
      <c r="M32" s="443"/>
      <c r="N32" s="443"/>
      <c r="O32" s="443"/>
      <c r="P32" s="443"/>
      <c r="Q32" s="443"/>
      <c r="R32" s="443"/>
      <c r="S32" s="443"/>
      <c r="T32" s="443"/>
    </row>
    <row r="33" spans="2:20" ht="30" customHeight="1" x14ac:dyDescent="0.3">
      <c r="B33" s="443"/>
      <c r="C33" s="443"/>
      <c r="D33" s="443"/>
      <c r="E33" s="443"/>
      <c r="F33" s="443"/>
      <c r="G33" s="443"/>
      <c r="H33" s="443"/>
      <c r="I33" s="443"/>
      <c r="J33" s="443"/>
      <c r="K33" s="443"/>
      <c r="L33" s="443"/>
      <c r="M33" s="443"/>
      <c r="N33" s="443"/>
      <c r="O33" s="443"/>
      <c r="P33" s="443"/>
      <c r="Q33" s="443"/>
      <c r="R33" s="443"/>
      <c r="S33" s="443"/>
      <c r="T33" s="443"/>
    </row>
    <row r="34" spans="2:20" ht="15" customHeight="1" x14ac:dyDescent="0.3">
      <c r="B34" s="19"/>
      <c r="C34" s="19"/>
      <c r="D34" s="19"/>
      <c r="E34" s="19"/>
      <c r="F34" s="19"/>
      <c r="G34" s="19"/>
      <c r="H34" s="19"/>
      <c r="I34" s="19"/>
      <c r="J34" s="19"/>
      <c r="K34" s="19"/>
      <c r="L34" s="19"/>
      <c r="M34" s="19"/>
      <c r="N34" s="19"/>
      <c r="O34" s="19"/>
      <c r="P34" s="19"/>
      <c r="Q34" s="19"/>
      <c r="R34" s="19"/>
      <c r="S34" s="19"/>
      <c r="T34" s="19"/>
    </row>
    <row r="35" spans="2:20" ht="30" customHeight="1" x14ac:dyDescent="0.3">
      <c r="B35" s="444" t="s">
        <v>886</v>
      </c>
      <c r="C35" s="444"/>
      <c r="D35" s="444"/>
      <c r="E35" s="445" t="s">
        <v>887</v>
      </c>
      <c r="F35" s="445"/>
      <c r="G35" s="445"/>
      <c r="H35" s="445"/>
      <c r="I35" s="445"/>
      <c r="J35" s="445"/>
      <c r="K35" s="445"/>
      <c r="L35" s="445"/>
      <c r="M35" s="445"/>
      <c r="N35" s="445"/>
      <c r="O35" s="445"/>
      <c r="P35" s="445"/>
      <c r="Q35" s="445"/>
      <c r="R35" s="445"/>
      <c r="S35" s="445"/>
      <c r="T35" s="445"/>
    </row>
    <row r="36" spans="2:20" ht="15" customHeight="1" x14ac:dyDescent="0.3">
      <c r="B36" s="19"/>
      <c r="C36" s="19"/>
      <c r="D36" s="19"/>
      <c r="E36" s="19"/>
      <c r="F36" s="19"/>
      <c r="G36" s="19"/>
      <c r="H36" s="19"/>
      <c r="I36" s="19"/>
      <c r="J36" s="19"/>
      <c r="K36" s="19"/>
      <c r="L36" s="19"/>
      <c r="M36" s="19"/>
      <c r="N36" s="19"/>
      <c r="O36" s="19"/>
      <c r="P36" s="19"/>
      <c r="Q36" s="19"/>
      <c r="R36" s="19"/>
      <c r="S36" s="19"/>
      <c r="T36" s="19"/>
    </row>
    <row r="37" spans="2:20" ht="30" customHeight="1" x14ac:dyDescent="0.3">
      <c r="B37" s="431" t="s">
        <v>888</v>
      </c>
      <c r="C37" s="431"/>
      <c r="D37" s="431"/>
      <c r="E37" s="19"/>
      <c r="F37" s="19"/>
      <c r="G37" s="19"/>
      <c r="H37" s="19"/>
      <c r="I37" s="19"/>
      <c r="J37" s="19"/>
      <c r="K37" s="19"/>
      <c r="L37" s="19"/>
      <c r="M37" s="19"/>
      <c r="N37" s="19"/>
      <c r="O37" s="19"/>
      <c r="P37" s="19"/>
      <c r="Q37" s="19"/>
      <c r="R37" s="19"/>
      <c r="S37" s="19"/>
      <c r="T37" s="19"/>
    </row>
    <row r="38" spans="2:20" ht="30" customHeight="1" x14ac:dyDescent="0.3">
      <c r="B38" s="432" t="s">
        <v>889</v>
      </c>
      <c r="C38" s="432"/>
      <c r="D38" s="432"/>
      <c r="E38" s="433" t="s">
        <v>890</v>
      </c>
      <c r="F38" s="433"/>
      <c r="G38" s="433"/>
      <c r="H38" s="433" t="s">
        <v>565</v>
      </c>
      <c r="I38" s="433"/>
      <c r="J38" s="433"/>
      <c r="K38" s="433"/>
      <c r="L38" s="433"/>
      <c r="M38" s="433"/>
      <c r="N38" s="433" t="s">
        <v>891</v>
      </c>
      <c r="O38" s="434" t="s">
        <v>892</v>
      </c>
      <c r="P38" s="434"/>
      <c r="Q38" s="434"/>
      <c r="R38" s="434"/>
      <c r="S38" s="434"/>
      <c r="T38" s="434"/>
    </row>
    <row r="39" spans="2:20" ht="30" customHeight="1" x14ac:dyDescent="0.3">
      <c r="B39" s="432"/>
      <c r="C39" s="432"/>
      <c r="D39" s="432"/>
      <c r="E39" s="433"/>
      <c r="F39" s="433"/>
      <c r="G39" s="433"/>
      <c r="H39" s="433"/>
      <c r="I39" s="433"/>
      <c r="J39" s="433"/>
      <c r="K39" s="433"/>
      <c r="L39" s="433"/>
      <c r="M39" s="433"/>
      <c r="N39" s="433"/>
      <c r="O39" s="388" t="s">
        <v>893</v>
      </c>
      <c r="P39" s="388"/>
      <c r="Q39" s="388" t="s">
        <v>894</v>
      </c>
      <c r="R39" s="388"/>
      <c r="S39" s="425" t="s">
        <v>895</v>
      </c>
      <c r="T39" s="425"/>
    </row>
    <row r="40" spans="2:20" ht="30" customHeight="1" x14ac:dyDescent="0.3">
      <c r="B40" s="426" t="s">
        <v>896</v>
      </c>
      <c r="C40" s="426"/>
      <c r="D40" s="426"/>
      <c r="E40" s="440" t="s">
        <v>897</v>
      </c>
      <c r="F40" s="440"/>
      <c r="G40" s="440"/>
      <c r="H40" s="441" t="s">
        <v>898</v>
      </c>
      <c r="I40" s="441"/>
      <c r="J40" s="441"/>
      <c r="K40" s="441"/>
      <c r="L40" s="441"/>
      <c r="M40" s="441"/>
      <c r="N40" s="59" t="s">
        <v>899</v>
      </c>
      <c r="O40" s="440" t="s">
        <v>900</v>
      </c>
      <c r="P40" s="440"/>
      <c r="Q40" s="440">
        <v>20</v>
      </c>
      <c r="R40" s="440"/>
      <c r="S40" s="437"/>
      <c r="T40" s="437"/>
    </row>
    <row r="41" spans="2:20" ht="30" customHeight="1" x14ac:dyDescent="0.3">
      <c r="B41" s="426" t="s">
        <v>309</v>
      </c>
      <c r="C41" s="426"/>
      <c r="D41" s="426"/>
      <c r="E41" s="440" t="s">
        <v>901</v>
      </c>
      <c r="F41" s="440"/>
      <c r="G41" s="440"/>
      <c r="H41" s="441" t="s">
        <v>902</v>
      </c>
      <c r="I41" s="441"/>
      <c r="J41" s="441"/>
      <c r="K41" s="441"/>
      <c r="L41" s="441"/>
      <c r="M41" s="441"/>
      <c r="N41" s="59" t="s">
        <v>903</v>
      </c>
      <c r="O41" s="440"/>
      <c r="P41" s="440"/>
      <c r="Q41" s="440"/>
      <c r="R41" s="440"/>
      <c r="S41" s="437"/>
      <c r="T41" s="437"/>
    </row>
    <row r="42" spans="2:20" ht="30" customHeight="1" x14ac:dyDescent="0.3">
      <c r="B42" s="439" t="s">
        <v>904</v>
      </c>
      <c r="C42" s="439"/>
      <c r="D42" s="439"/>
      <c r="E42" s="439"/>
      <c r="F42" s="439"/>
      <c r="G42" s="439"/>
      <c r="H42" s="439"/>
      <c r="I42" s="439"/>
      <c r="J42" s="439"/>
      <c r="K42" s="439"/>
      <c r="L42" s="439"/>
      <c r="M42" s="439"/>
      <c r="N42" s="439"/>
      <c r="O42" s="439"/>
      <c r="P42" s="439"/>
      <c r="Q42" s="439"/>
      <c r="R42" s="439"/>
      <c r="S42" s="439"/>
      <c r="T42" s="439"/>
    </row>
    <row r="43" spans="2:20" ht="15" customHeight="1" x14ac:dyDescent="0.3">
      <c r="B43" s="11"/>
      <c r="C43" s="11"/>
      <c r="D43" s="11"/>
      <c r="E43" s="11"/>
      <c r="F43" s="11"/>
      <c r="G43" s="11"/>
      <c r="H43" s="11"/>
      <c r="I43" s="11"/>
      <c r="J43" s="11"/>
      <c r="K43" s="11"/>
      <c r="L43" s="11"/>
      <c r="M43" s="11"/>
      <c r="N43" s="11"/>
      <c r="O43" s="11"/>
      <c r="P43" s="11"/>
      <c r="Q43" s="11"/>
      <c r="R43" s="11"/>
      <c r="S43" s="11"/>
      <c r="T43" s="11"/>
    </row>
    <row r="44" spans="2:20" ht="30" customHeight="1" x14ac:dyDescent="0.3">
      <c r="B44" s="431" t="s">
        <v>905</v>
      </c>
      <c r="C44" s="431"/>
      <c r="D44" s="431"/>
      <c r="E44" s="11"/>
      <c r="F44" s="11"/>
      <c r="G44" s="11"/>
      <c r="H44" s="11"/>
      <c r="I44" s="11"/>
      <c r="J44" s="11"/>
      <c r="K44" s="11"/>
      <c r="L44" s="11"/>
      <c r="M44" s="11"/>
      <c r="N44" s="11"/>
      <c r="O44" s="11"/>
      <c r="P44" s="11"/>
      <c r="Q44" s="11"/>
      <c r="R44" s="11"/>
      <c r="S44" s="11"/>
      <c r="T44" s="11"/>
    </row>
    <row r="45" spans="2:20" ht="30" customHeight="1" x14ac:dyDescent="0.3">
      <c r="B45" s="432" t="s">
        <v>906</v>
      </c>
      <c r="C45" s="432"/>
      <c r="D45" s="432"/>
      <c r="E45" s="432"/>
      <c r="F45" s="433" t="s">
        <v>907</v>
      </c>
      <c r="G45" s="433"/>
      <c r="H45" s="433"/>
      <c r="I45" s="433"/>
      <c r="J45" s="433"/>
      <c r="K45" s="433"/>
      <c r="L45" s="433"/>
      <c r="M45" s="433"/>
      <c r="N45" s="433" t="s">
        <v>908</v>
      </c>
      <c r="O45" s="433"/>
      <c r="P45" s="433"/>
      <c r="Q45" s="433"/>
      <c r="R45" s="434" t="s">
        <v>909</v>
      </c>
      <c r="S45" s="434"/>
      <c r="T45" s="434"/>
    </row>
    <row r="46" spans="2:20" ht="30" customHeight="1" x14ac:dyDescent="0.3">
      <c r="B46" s="428" t="s">
        <v>910</v>
      </c>
      <c r="C46" s="428"/>
      <c r="D46" s="428"/>
      <c r="E46" s="428"/>
      <c r="F46" s="435" t="s">
        <v>911</v>
      </c>
      <c r="G46" s="435"/>
      <c r="H46" s="435"/>
      <c r="I46" s="435"/>
      <c r="J46" s="435"/>
      <c r="K46" s="435"/>
      <c r="L46" s="435"/>
      <c r="M46" s="435"/>
      <c r="N46" s="61" t="s">
        <v>912</v>
      </c>
      <c r="O46" s="436" t="s">
        <v>897</v>
      </c>
      <c r="P46" s="436"/>
      <c r="Q46" s="436"/>
      <c r="R46" s="437" t="s">
        <v>913</v>
      </c>
      <c r="S46" s="437"/>
      <c r="T46" s="437"/>
    </row>
    <row r="47" spans="2:20" ht="30" customHeight="1" x14ac:dyDescent="0.3">
      <c r="B47" s="428"/>
      <c r="C47" s="428"/>
      <c r="D47" s="428"/>
      <c r="E47" s="428"/>
      <c r="F47" s="435"/>
      <c r="G47" s="435"/>
      <c r="H47" s="435"/>
      <c r="I47" s="435"/>
      <c r="J47" s="435"/>
      <c r="K47" s="435"/>
      <c r="L47" s="435"/>
      <c r="M47" s="435"/>
      <c r="N47" s="60" t="s">
        <v>903</v>
      </c>
      <c r="O47" s="435" t="s">
        <v>914</v>
      </c>
      <c r="P47" s="435"/>
      <c r="Q47" s="435"/>
      <c r="R47" s="438" t="s">
        <v>915</v>
      </c>
      <c r="S47" s="438"/>
      <c r="T47" s="438"/>
    </row>
    <row r="48" spans="2:20" ht="15" customHeight="1" x14ac:dyDescent="0.3">
      <c r="B48" s="11"/>
      <c r="C48" s="11"/>
      <c r="D48" s="11"/>
      <c r="E48" s="11"/>
      <c r="F48" s="11"/>
      <c r="G48" s="11"/>
      <c r="H48" s="11"/>
      <c r="I48" s="11"/>
      <c r="J48" s="11"/>
      <c r="K48" s="11"/>
      <c r="L48" s="11"/>
      <c r="M48" s="11"/>
      <c r="N48" s="11"/>
      <c r="O48" s="11"/>
      <c r="P48" s="11"/>
      <c r="Q48" s="11"/>
      <c r="R48" s="11"/>
      <c r="S48" s="11"/>
      <c r="T48" s="11"/>
    </row>
    <row r="49" spans="2:20" ht="30" customHeight="1" x14ac:dyDescent="0.3">
      <c r="B49" s="431" t="s">
        <v>916</v>
      </c>
      <c r="C49" s="431"/>
      <c r="D49" s="431"/>
      <c r="E49" s="11"/>
      <c r="F49" s="11"/>
      <c r="G49" s="11"/>
      <c r="H49" s="11"/>
      <c r="I49" s="11"/>
      <c r="J49" s="11"/>
      <c r="K49" s="11"/>
      <c r="L49" s="11"/>
      <c r="M49" s="11"/>
      <c r="N49" s="11"/>
      <c r="O49" s="11"/>
      <c r="P49" s="11"/>
      <c r="Q49" s="11"/>
      <c r="R49" s="11"/>
      <c r="S49" s="11"/>
      <c r="T49" s="11"/>
    </row>
    <row r="50" spans="2:20" ht="30" customHeight="1" x14ac:dyDescent="0.3">
      <c r="B50" s="432" t="s">
        <v>917</v>
      </c>
      <c r="C50" s="432"/>
      <c r="D50" s="432"/>
      <c r="E50" s="432"/>
      <c r="F50" s="433" t="s">
        <v>918</v>
      </c>
      <c r="G50" s="433"/>
      <c r="H50" s="433"/>
      <c r="I50" s="433"/>
      <c r="J50" s="433"/>
      <c r="K50" s="433"/>
      <c r="L50" s="433"/>
      <c r="M50" s="434" t="s">
        <v>919</v>
      </c>
      <c r="N50" s="434"/>
      <c r="O50" s="434"/>
      <c r="P50" s="434"/>
      <c r="Q50" s="434"/>
      <c r="R50" s="434"/>
      <c r="S50" s="434"/>
      <c r="T50" s="434"/>
    </row>
    <row r="51" spans="2:20" ht="30" customHeight="1" x14ac:dyDescent="0.3">
      <c r="B51" s="426" t="s">
        <v>920</v>
      </c>
      <c r="C51" s="426"/>
      <c r="D51" s="426"/>
      <c r="E51" s="426"/>
      <c r="F51" s="241" t="s">
        <v>921</v>
      </c>
      <c r="G51" s="241"/>
      <c r="H51" s="241"/>
      <c r="I51" s="241"/>
      <c r="J51" s="241"/>
      <c r="K51" s="241"/>
      <c r="L51" s="241"/>
      <c r="M51" s="427" t="s">
        <v>922</v>
      </c>
      <c r="N51" s="427"/>
      <c r="O51" s="427"/>
      <c r="P51" s="427"/>
      <c r="Q51" s="427"/>
      <c r="R51" s="427"/>
      <c r="S51" s="427"/>
      <c r="T51" s="427"/>
    </row>
    <row r="52" spans="2:20" ht="30" customHeight="1" x14ac:dyDescent="0.3">
      <c r="B52" s="426" t="s">
        <v>923</v>
      </c>
      <c r="C52" s="426"/>
      <c r="D52" s="426"/>
      <c r="E52" s="426"/>
      <c r="F52" s="241" t="s">
        <v>924</v>
      </c>
      <c r="G52" s="241"/>
      <c r="H52" s="241"/>
      <c r="I52" s="241"/>
      <c r="J52" s="241"/>
      <c r="K52" s="241"/>
      <c r="L52" s="241"/>
      <c r="M52" s="427" t="s">
        <v>925</v>
      </c>
      <c r="N52" s="427"/>
      <c r="O52" s="427"/>
      <c r="P52" s="427"/>
      <c r="Q52" s="427"/>
      <c r="R52" s="427"/>
      <c r="S52" s="427"/>
      <c r="T52" s="427"/>
    </row>
    <row r="53" spans="2:20" ht="30" customHeight="1" x14ac:dyDescent="0.3">
      <c r="B53" s="428" t="s">
        <v>923</v>
      </c>
      <c r="C53" s="428"/>
      <c r="D53" s="428"/>
      <c r="E53" s="428"/>
      <c r="F53" s="429" t="s">
        <v>924</v>
      </c>
      <c r="G53" s="429"/>
      <c r="H53" s="429"/>
      <c r="I53" s="429"/>
      <c r="J53" s="429"/>
      <c r="K53" s="429"/>
      <c r="L53" s="429"/>
      <c r="M53" s="430" t="s">
        <v>926</v>
      </c>
      <c r="N53" s="430"/>
      <c r="O53" s="430"/>
      <c r="P53" s="430"/>
      <c r="Q53" s="430"/>
      <c r="R53" s="430"/>
      <c r="S53" s="430"/>
      <c r="T53" s="430"/>
    </row>
    <row r="54" spans="2:20" ht="30" customHeight="1" x14ac:dyDescent="0.3"/>
    <row r="55" spans="2:20" ht="30" customHeight="1" x14ac:dyDescent="0.3"/>
    <row r="56" spans="2:20" ht="30" customHeight="1" x14ac:dyDescent="0.3"/>
    <row r="57" spans="2:20" ht="30" customHeight="1" x14ac:dyDescent="0.3"/>
    <row r="58" spans="2:20" ht="30" customHeight="1" x14ac:dyDescent="0.3"/>
    <row r="59" spans="2:20" ht="30" customHeight="1" x14ac:dyDescent="0.3"/>
    <row r="60" spans="2:20" ht="30" customHeight="1" x14ac:dyDescent="0.3"/>
    <row r="61" spans="2:20" ht="30" customHeight="1" x14ac:dyDescent="0.3"/>
    <row r="62" spans="2:20" ht="30" customHeight="1" x14ac:dyDescent="0.3"/>
    <row r="63" spans="2:20" ht="30" customHeight="1" x14ac:dyDescent="0.3"/>
    <row r="64" spans="2:20" ht="24.95" customHeight="1" x14ac:dyDescent="0.3"/>
    <row r="65" ht="24.95" customHeight="1" x14ac:dyDescent="0.3"/>
    <row r="66" ht="24.95" customHeight="1" x14ac:dyDescent="0.3"/>
    <row r="67" ht="24.95" customHeight="1" x14ac:dyDescent="0.3"/>
    <row r="68" ht="24.95" customHeight="1" x14ac:dyDescent="0.3"/>
  </sheetData>
  <mergeCells count="63">
    <mergeCell ref="B2:D2"/>
    <mergeCell ref="E2:L2"/>
    <mergeCell ref="M2:O2"/>
    <mergeCell ref="P2:T2"/>
    <mergeCell ref="B3:D3"/>
    <mergeCell ref="E3:L3"/>
    <mergeCell ref="M3:O3"/>
    <mergeCell ref="P3:T3"/>
    <mergeCell ref="B4:T4"/>
    <mergeCell ref="B5:T8"/>
    <mergeCell ref="B10:T11"/>
    <mergeCell ref="B13:D13"/>
    <mergeCell ref="E13:T13"/>
    <mergeCell ref="B14:T14"/>
    <mergeCell ref="B15:T33"/>
    <mergeCell ref="B35:D35"/>
    <mergeCell ref="E35:T35"/>
    <mergeCell ref="B37:D37"/>
    <mergeCell ref="B38:D39"/>
    <mergeCell ref="E38:G39"/>
    <mergeCell ref="H38:M39"/>
    <mergeCell ref="N38:N39"/>
    <mergeCell ref="O38:T38"/>
    <mergeCell ref="O39:P39"/>
    <mergeCell ref="Q39:R39"/>
    <mergeCell ref="S39:T39"/>
    <mergeCell ref="S40:T40"/>
    <mergeCell ref="B41:D41"/>
    <mergeCell ref="E41:G41"/>
    <mergeCell ref="H41:M41"/>
    <mergeCell ref="O41:P41"/>
    <mergeCell ref="Q41:R41"/>
    <mergeCell ref="S41:T41"/>
    <mergeCell ref="B40:D40"/>
    <mergeCell ref="E40:G40"/>
    <mergeCell ref="H40:M40"/>
    <mergeCell ref="O40:P40"/>
    <mergeCell ref="Q40:R40"/>
    <mergeCell ref="B42:T42"/>
    <mergeCell ref="B44:D44"/>
    <mergeCell ref="B45:E45"/>
    <mergeCell ref="F45:M45"/>
    <mergeCell ref="N45:Q45"/>
    <mergeCell ref="R45:T45"/>
    <mergeCell ref="B46:E47"/>
    <mergeCell ref="F46:M47"/>
    <mergeCell ref="O46:Q46"/>
    <mergeCell ref="R46:T46"/>
    <mergeCell ref="O47:Q47"/>
    <mergeCell ref="R47:T47"/>
    <mergeCell ref="B49:D49"/>
    <mergeCell ref="B50:E50"/>
    <mergeCell ref="F50:L50"/>
    <mergeCell ref="M50:T50"/>
    <mergeCell ref="B51:E51"/>
    <mergeCell ref="F51:L51"/>
    <mergeCell ref="M51:T51"/>
    <mergeCell ref="B52:E52"/>
    <mergeCell ref="F52:L52"/>
    <mergeCell ref="M52:T52"/>
    <mergeCell ref="B53:E53"/>
    <mergeCell ref="F53:L53"/>
    <mergeCell ref="M53:T53"/>
  </mergeCells>
  <phoneticPr fontId="45" type="noConversion"/>
  <pageMargins left="0.7" right="0.7" top="0.75" bottom="0.75" header="0.51180555555555496" footer="0.51180555555555496"/>
  <pageSetup paperSize="9" firstPageNumber="0" orientation="portrait" horizontalDpi="300" verticalDpi="30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U408"/>
  <sheetViews>
    <sheetView topLeftCell="A4" zoomScale="85" zoomScaleNormal="85" workbookViewId="0">
      <selection activeCell="B4" sqref="B4"/>
    </sheetView>
  </sheetViews>
  <sheetFormatPr defaultRowHeight="16.5" x14ac:dyDescent="0.3"/>
  <cols>
    <col min="1" max="1" width="3.375" customWidth="1"/>
    <col min="2" max="1025" width="9" customWidth="1"/>
  </cols>
  <sheetData>
    <row r="2" spans="2:21" ht="30" customHeight="1" x14ac:dyDescent="0.3">
      <c r="B2" s="255" t="s">
        <v>816</v>
      </c>
      <c r="C2" s="255"/>
      <c r="D2" s="255"/>
      <c r="E2" s="255"/>
      <c r="F2" s="255"/>
      <c r="G2" s="255"/>
      <c r="H2" s="255"/>
      <c r="I2" s="255"/>
      <c r="J2" s="255"/>
      <c r="K2" s="255"/>
      <c r="L2" s="255"/>
      <c r="M2" s="255"/>
      <c r="N2" s="255"/>
      <c r="O2" s="255"/>
      <c r="P2" s="255"/>
      <c r="Q2" s="255"/>
      <c r="R2" s="255"/>
      <c r="S2" s="255"/>
      <c r="T2" s="255"/>
      <c r="U2" s="255"/>
    </row>
    <row r="3" spans="2:21" ht="30" customHeight="1" x14ac:dyDescent="0.3">
      <c r="B3" s="255"/>
      <c r="C3" s="255"/>
      <c r="D3" s="255"/>
      <c r="E3" s="255"/>
      <c r="F3" s="255"/>
      <c r="G3" s="255"/>
      <c r="H3" s="255"/>
      <c r="I3" s="255"/>
      <c r="J3" s="255"/>
      <c r="K3" s="255"/>
      <c r="L3" s="255"/>
      <c r="M3" s="255"/>
      <c r="N3" s="255"/>
      <c r="O3" s="255"/>
      <c r="P3" s="255"/>
      <c r="Q3" s="255"/>
      <c r="R3" s="255"/>
      <c r="S3" s="255"/>
      <c r="T3" s="255"/>
      <c r="U3" s="255"/>
    </row>
    <row r="5" spans="2:21" ht="30" customHeight="1" x14ac:dyDescent="0.3">
      <c r="B5" s="236" t="s">
        <v>0</v>
      </c>
      <c r="C5" s="236"/>
      <c r="D5" s="236"/>
      <c r="E5" s="237" t="str">
        <f>'00_팀프로젝트_큰틀'!E2</f>
        <v>[디지털컨버전스] ICT융합 풀스택(자바/스프링) 개발자 양성과정A</v>
      </c>
      <c r="F5" s="237"/>
      <c r="G5" s="237"/>
      <c r="H5" s="237"/>
      <c r="I5" s="237"/>
      <c r="J5" s="237"/>
      <c r="K5" s="237"/>
      <c r="L5" s="237"/>
      <c r="M5" s="237"/>
      <c r="N5" s="238" t="s">
        <v>2</v>
      </c>
      <c r="O5" s="238"/>
      <c r="P5" s="238"/>
      <c r="Q5" s="374" t="str">
        <f>'00_팀프로젝트_큰틀'!P2</f>
        <v>홍길순</v>
      </c>
      <c r="R5" s="374"/>
      <c r="S5" s="374"/>
      <c r="T5" s="374"/>
      <c r="U5" s="374"/>
    </row>
    <row r="6" spans="2:21" ht="30" customHeight="1" x14ac:dyDescent="0.3">
      <c r="B6" s="240" t="s">
        <v>4</v>
      </c>
      <c r="C6" s="240"/>
      <c r="D6" s="240"/>
      <c r="E6" s="241" t="str">
        <f>'00_팀프로젝트_큰틀'!E3</f>
        <v>2024-02-19~2024-08-01</v>
      </c>
      <c r="F6" s="241"/>
      <c r="G6" s="241"/>
      <c r="H6" s="241"/>
      <c r="I6" s="241"/>
      <c r="J6" s="241"/>
      <c r="K6" s="241"/>
      <c r="L6" s="241"/>
      <c r="M6" s="241"/>
      <c r="N6" s="242" t="s">
        <v>6</v>
      </c>
      <c r="O6" s="242"/>
      <c r="P6" s="242"/>
      <c r="Q6" s="375">
        <v>44806</v>
      </c>
      <c r="R6" s="375"/>
      <c r="S6" s="375"/>
      <c r="T6" s="375"/>
      <c r="U6" s="375"/>
    </row>
    <row r="7" spans="2:21" ht="30" customHeight="1" x14ac:dyDescent="0.3">
      <c r="B7" s="361" t="s">
        <v>61</v>
      </c>
      <c r="C7" s="361"/>
      <c r="D7" s="361"/>
      <c r="E7" s="361"/>
      <c r="F7" s="361"/>
      <c r="G7" s="361"/>
      <c r="H7" s="361"/>
      <c r="I7" s="361"/>
      <c r="J7" s="361"/>
      <c r="K7" s="361"/>
      <c r="L7" s="361"/>
      <c r="M7" s="361"/>
      <c r="N7" s="361"/>
      <c r="O7" s="361"/>
      <c r="P7" s="361"/>
      <c r="Q7" s="361"/>
      <c r="R7" s="361"/>
      <c r="S7" s="361"/>
      <c r="T7" s="361"/>
      <c r="U7" s="361"/>
    </row>
    <row r="8" spans="2:21" ht="30" customHeight="1" x14ac:dyDescent="0.3">
      <c r="B8" s="390" t="s">
        <v>927</v>
      </c>
      <c r="C8" s="390"/>
      <c r="D8" s="390"/>
      <c r="E8" s="390"/>
      <c r="F8" s="390"/>
      <c r="G8" s="390"/>
      <c r="H8" s="390"/>
      <c r="I8" s="390"/>
      <c r="J8" s="390"/>
      <c r="K8" s="390"/>
      <c r="L8" s="390"/>
      <c r="M8" s="390"/>
      <c r="N8" s="390"/>
      <c r="O8" s="390"/>
      <c r="P8" s="390"/>
      <c r="Q8" s="390"/>
      <c r="R8" s="390"/>
      <c r="S8" s="390"/>
      <c r="T8" s="390"/>
      <c r="U8" s="390"/>
    </row>
    <row r="9" spans="2:21" ht="30" customHeight="1" x14ac:dyDescent="0.3">
      <c r="B9" s="390"/>
      <c r="C9" s="390"/>
      <c r="D9" s="390"/>
      <c r="E9" s="390"/>
      <c r="F9" s="390"/>
      <c r="G9" s="390"/>
      <c r="H9" s="390"/>
      <c r="I9" s="390"/>
      <c r="J9" s="390"/>
      <c r="K9" s="390"/>
      <c r="L9" s="390"/>
      <c r="M9" s="390"/>
      <c r="N9" s="390"/>
      <c r="O9" s="390"/>
      <c r="P9" s="390"/>
      <c r="Q9" s="390"/>
      <c r="R9" s="390"/>
      <c r="S9" s="390"/>
      <c r="T9" s="390"/>
      <c r="U9" s="390"/>
    </row>
    <row r="10" spans="2:21" ht="30" customHeight="1" x14ac:dyDescent="0.3">
      <c r="B10" s="390"/>
      <c r="C10" s="390"/>
      <c r="D10" s="390"/>
      <c r="E10" s="390"/>
      <c r="F10" s="390"/>
      <c r="G10" s="390"/>
      <c r="H10" s="390"/>
      <c r="I10" s="390"/>
      <c r="J10" s="390"/>
      <c r="K10" s="390"/>
      <c r="L10" s="390"/>
      <c r="M10" s="390"/>
      <c r="N10" s="390"/>
      <c r="O10" s="390"/>
      <c r="P10" s="390"/>
      <c r="Q10" s="390"/>
      <c r="R10" s="390"/>
      <c r="S10" s="390"/>
      <c r="T10" s="390"/>
      <c r="U10" s="390"/>
    </row>
    <row r="11" spans="2:21" ht="30" customHeight="1" x14ac:dyDescent="0.3">
      <c r="B11" s="390"/>
      <c r="C11" s="390"/>
      <c r="D11" s="390"/>
      <c r="E11" s="390"/>
      <c r="F11" s="390"/>
      <c r="G11" s="390"/>
      <c r="H11" s="390"/>
      <c r="I11" s="390"/>
      <c r="J11" s="390"/>
      <c r="K11" s="390"/>
      <c r="L11" s="390"/>
      <c r="M11" s="390"/>
      <c r="N11" s="390"/>
      <c r="O11" s="390"/>
      <c r="P11" s="390"/>
      <c r="Q11" s="390"/>
      <c r="R11" s="390"/>
      <c r="S11" s="390"/>
      <c r="T11" s="390"/>
      <c r="U11" s="390"/>
    </row>
    <row r="13" spans="2:21" ht="30" customHeight="1" x14ac:dyDescent="0.3">
      <c r="B13" s="62" t="s">
        <v>15</v>
      </c>
      <c r="C13" s="452" t="s">
        <v>928</v>
      </c>
      <c r="D13" s="452"/>
      <c r="E13" s="452"/>
      <c r="F13" s="452"/>
      <c r="G13" s="452"/>
      <c r="H13" s="452" t="s">
        <v>919</v>
      </c>
      <c r="I13" s="452"/>
      <c r="J13" s="452"/>
      <c r="K13" s="452"/>
      <c r="L13" s="452"/>
      <c r="M13" s="453" t="s">
        <v>565</v>
      </c>
      <c r="N13" s="453"/>
      <c r="O13" s="453"/>
      <c r="P13" s="453"/>
      <c r="Q13" s="453"/>
      <c r="R13" s="453"/>
      <c r="S13" s="453"/>
      <c r="T13" s="453"/>
      <c r="U13" s="453"/>
    </row>
    <row r="14" spans="2:21" ht="30" customHeight="1" x14ac:dyDescent="0.3">
      <c r="B14" s="451" t="s">
        <v>929</v>
      </c>
      <c r="C14" s="451"/>
      <c r="D14" s="451"/>
      <c r="E14" s="451"/>
      <c r="F14" s="451"/>
      <c r="G14" s="451"/>
      <c r="H14" s="451"/>
      <c r="I14" s="451"/>
      <c r="J14" s="451"/>
      <c r="K14" s="451"/>
      <c r="L14" s="451"/>
      <c r="M14" s="451"/>
      <c r="N14" s="451"/>
      <c r="O14" s="451"/>
      <c r="P14" s="451"/>
      <c r="Q14" s="451"/>
      <c r="R14" s="451"/>
      <c r="S14" s="451"/>
      <c r="T14" s="451"/>
      <c r="U14" s="451"/>
    </row>
    <row r="15" spans="2:21" ht="30" customHeight="1" x14ac:dyDescent="0.3">
      <c r="B15" s="63">
        <v>1</v>
      </c>
      <c r="C15" s="449" t="s">
        <v>929</v>
      </c>
      <c r="D15" s="449"/>
      <c r="E15" s="449"/>
      <c r="F15" s="449"/>
      <c r="G15" s="449"/>
      <c r="H15" s="449" t="s">
        <v>930</v>
      </c>
      <c r="I15" s="449"/>
      <c r="J15" s="449"/>
      <c r="K15" s="449"/>
      <c r="L15" s="449"/>
      <c r="M15" s="450" t="s">
        <v>931</v>
      </c>
      <c r="N15" s="450"/>
      <c r="O15" s="450"/>
      <c r="P15" s="450"/>
      <c r="Q15" s="450"/>
      <c r="R15" s="450"/>
      <c r="S15" s="450"/>
      <c r="T15" s="450"/>
      <c r="U15" s="450"/>
    </row>
    <row r="16" spans="2:21" ht="30" customHeight="1" x14ac:dyDescent="0.3">
      <c r="B16" s="63">
        <v>2</v>
      </c>
      <c r="C16" s="449" t="s">
        <v>929</v>
      </c>
      <c r="D16" s="449"/>
      <c r="E16" s="449"/>
      <c r="F16" s="449"/>
      <c r="G16" s="449"/>
      <c r="H16" s="449" t="s">
        <v>932</v>
      </c>
      <c r="I16" s="449"/>
      <c r="J16" s="449"/>
      <c r="K16" s="449"/>
      <c r="L16" s="449"/>
      <c r="M16" s="450" t="s">
        <v>933</v>
      </c>
      <c r="N16" s="450"/>
      <c r="O16" s="450"/>
      <c r="P16" s="450"/>
      <c r="Q16" s="450"/>
      <c r="R16" s="450"/>
      <c r="S16" s="450"/>
      <c r="T16" s="450"/>
      <c r="U16" s="450"/>
    </row>
    <row r="17" spans="2:21" ht="30" customHeight="1" x14ac:dyDescent="0.3">
      <c r="B17" s="63">
        <v>3</v>
      </c>
      <c r="C17" s="449" t="s">
        <v>929</v>
      </c>
      <c r="D17" s="449"/>
      <c r="E17" s="449"/>
      <c r="F17" s="449"/>
      <c r="G17" s="449"/>
      <c r="H17" s="449" t="s">
        <v>934</v>
      </c>
      <c r="I17" s="449"/>
      <c r="J17" s="449"/>
      <c r="K17" s="449"/>
      <c r="L17" s="449"/>
      <c r="M17" s="450" t="s">
        <v>935</v>
      </c>
      <c r="N17" s="450"/>
      <c r="O17" s="450"/>
      <c r="P17" s="450"/>
      <c r="Q17" s="450"/>
      <c r="R17" s="450"/>
      <c r="S17" s="450"/>
      <c r="T17" s="450"/>
      <c r="U17" s="450"/>
    </row>
    <row r="18" spans="2:21" ht="30" customHeight="1" x14ac:dyDescent="0.3">
      <c r="B18" s="63">
        <v>4</v>
      </c>
      <c r="C18" s="449" t="s">
        <v>929</v>
      </c>
      <c r="D18" s="449"/>
      <c r="E18" s="449"/>
      <c r="F18" s="449"/>
      <c r="G18" s="449"/>
      <c r="H18" s="449" t="s">
        <v>936</v>
      </c>
      <c r="I18" s="449"/>
      <c r="J18" s="449"/>
      <c r="K18" s="449"/>
      <c r="L18" s="449"/>
      <c r="M18" s="450" t="s">
        <v>937</v>
      </c>
      <c r="N18" s="450"/>
      <c r="O18" s="450"/>
      <c r="P18" s="450"/>
      <c r="Q18" s="450"/>
      <c r="R18" s="450"/>
      <c r="S18" s="450"/>
      <c r="T18" s="450"/>
      <c r="U18" s="450"/>
    </row>
    <row r="19" spans="2:21" ht="30" customHeight="1" x14ac:dyDescent="0.3">
      <c r="B19" s="63">
        <v>5</v>
      </c>
      <c r="C19" s="449" t="s">
        <v>929</v>
      </c>
      <c r="D19" s="449"/>
      <c r="E19" s="449"/>
      <c r="F19" s="449"/>
      <c r="G19" s="449"/>
      <c r="H19" s="449" t="s">
        <v>938</v>
      </c>
      <c r="I19" s="449"/>
      <c r="J19" s="449"/>
      <c r="K19" s="449"/>
      <c r="L19" s="449"/>
      <c r="M19" s="450" t="s">
        <v>939</v>
      </c>
      <c r="N19" s="450"/>
      <c r="O19" s="450"/>
      <c r="P19" s="450"/>
      <c r="Q19" s="450"/>
      <c r="R19" s="450"/>
      <c r="S19" s="450"/>
      <c r="T19" s="450"/>
      <c r="U19" s="450"/>
    </row>
    <row r="20" spans="2:21" ht="30" customHeight="1" x14ac:dyDescent="0.3">
      <c r="B20" s="63">
        <v>6</v>
      </c>
      <c r="C20" s="449" t="s">
        <v>929</v>
      </c>
      <c r="D20" s="449"/>
      <c r="E20" s="449"/>
      <c r="F20" s="449"/>
      <c r="G20" s="449"/>
      <c r="H20" s="449" t="s">
        <v>940</v>
      </c>
      <c r="I20" s="449"/>
      <c r="J20" s="449"/>
      <c r="K20" s="449"/>
      <c r="L20" s="449"/>
      <c r="M20" s="450" t="s">
        <v>941</v>
      </c>
      <c r="N20" s="450"/>
      <c r="O20" s="450"/>
      <c r="P20" s="450"/>
      <c r="Q20" s="450"/>
      <c r="R20" s="450"/>
      <c r="S20" s="450"/>
      <c r="T20" s="450"/>
      <c r="U20" s="450"/>
    </row>
    <row r="21" spans="2:21" ht="30" customHeight="1" x14ac:dyDescent="0.3">
      <c r="B21" s="63">
        <v>7</v>
      </c>
      <c r="C21" s="449" t="s">
        <v>929</v>
      </c>
      <c r="D21" s="449"/>
      <c r="E21" s="449"/>
      <c r="F21" s="449"/>
      <c r="G21" s="449"/>
      <c r="H21" s="449" t="s">
        <v>942</v>
      </c>
      <c r="I21" s="449"/>
      <c r="J21" s="449"/>
      <c r="K21" s="449"/>
      <c r="L21" s="449"/>
      <c r="M21" s="450" t="s">
        <v>943</v>
      </c>
      <c r="N21" s="450"/>
      <c r="O21" s="450"/>
      <c r="P21" s="450"/>
      <c r="Q21" s="450"/>
      <c r="R21" s="450"/>
      <c r="S21" s="450"/>
      <c r="T21" s="450"/>
      <c r="U21" s="450"/>
    </row>
    <row r="22" spans="2:21" ht="30" customHeight="1" x14ac:dyDescent="0.3">
      <c r="B22" s="63">
        <v>8</v>
      </c>
      <c r="C22" s="449" t="s">
        <v>929</v>
      </c>
      <c r="D22" s="449"/>
      <c r="E22" s="449"/>
      <c r="F22" s="449"/>
      <c r="G22" s="449"/>
      <c r="H22" s="449" t="s">
        <v>944</v>
      </c>
      <c r="I22" s="449"/>
      <c r="J22" s="449"/>
      <c r="K22" s="449"/>
      <c r="L22" s="449"/>
      <c r="M22" s="450" t="s">
        <v>945</v>
      </c>
      <c r="N22" s="450"/>
      <c r="O22" s="450"/>
      <c r="P22" s="450"/>
      <c r="Q22" s="450"/>
      <c r="R22" s="450"/>
      <c r="S22" s="450"/>
      <c r="T22" s="450"/>
      <c r="U22" s="450"/>
    </row>
    <row r="23" spans="2:21" ht="30" customHeight="1" x14ac:dyDescent="0.3">
      <c r="B23" s="451" t="s">
        <v>946</v>
      </c>
      <c r="C23" s="451"/>
      <c r="D23" s="451"/>
      <c r="E23" s="451"/>
      <c r="F23" s="451"/>
      <c r="G23" s="451"/>
      <c r="H23" s="451"/>
      <c r="I23" s="451"/>
      <c r="J23" s="451"/>
      <c r="K23" s="451"/>
      <c r="L23" s="451"/>
      <c r="M23" s="451"/>
      <c r="N23" s="451"/>
      <c r="O23" s="451"/>
      <c r="P23" s="451"/>
      <c r="Q23" s="451"/>
      <c r="R23" s="451"/>
      <c r="S23" s="451"/>
      <c r="T23" s="451"/>
      <c r="U23" s="451"/>
    </row>
    <row r="24" spans="2:21" ht="30" customHeight="1" x14ac:dyDescent="0.3">
      <c r="B24" s="63">
        <v>9</v>
      </c>
      <c r="C24" s="449" t="s">
        <v>946</v>
      </c>
      <c r="D24" s="449"/>
      <c r="E24" s="449"/>
      <c r="F24" s="449"/>
      <c r="G24" s="449"/>
      <c r="H24" s="449" t="s">
        <v>947</v>
      </c>
      <c r="I24" s="449"/>
      <c r="J24" s="449"/>
      <c r="K24" s="449"/>
      <c r="L24" s="449"/>
      <c r="M24" s="450" t="s">
        <v>948</v>
      </c>
      <c r="N24" s="450"/>
      <c r="O24" s="450"/>
      <c r="P24" s="450"/>
      <c r="Q24" s="450"/>
      <c r="R24" s="450"/>
      <c r="S24" s="450"/>
      <c r="T24" s="450"/>
      <c r="U24" s="450"/>
    </row>
    <row r="25" spans="2:21" ht="30" customHeight="1" x14ac:dyDescent="0.3">
      <c r="B25" s="63">
        <v>10</v>
      </c>
      <c r="C25" s="449" t="s">
        <v>946</v>
      </c>
      <c r="D25" s="449"/>
      <c r="E25" s="449"/>
      <c r="F25" s="449"/>
      <c r="G25" s="449"/>
      <c r="H25" s="449" t="s">
        <v>949</v>
      </c>
      <c r="I25" s="449"/>
      <c r="J25" s="449"/>
      <c r="K25" s="449"/>
      <c r="L25" s="449"/>
      <c r="M25" s="450" t="s">
        <v>950</v>
      </c>
      <c r="N25" s="450"/>
      <c r="O25" s="450"/>
      <c r="P25" s="450"/>
      <c r="Q25" s="450"/>
      <c r="R25" s="450"/>
      <c r="S25" s="450"/>
      <c r="T25" s="450"/>
      <c r="U25" s="450"/>
    </row>
    <row r="26" spans="2:21" ht="30" customHeight="1" x14ac:dyDescent="0.3">
      <c r="B26" s="63">
        <v>11</v>
      </c>
      <c r="C26" s="449" t="s">
        <v>946</v>
      </c>
      <c r="D26" s="449"/>
      <c r="E26" s="449"/>
      <c r="F26" s="449"/>
      <c r="G26" s="449"/>
      <c r="H26" s="449" t="s">
        <v>951</v>
      </c>
      <c r="I26" s="449"/>
      <c r="J26" s="449"/>
      <c r="K26" s="449"/>
      <c r="L26" s="449"/>
      <c r="M26" s="450" t="s">
        <v>952</v>
      </c>
      <c r="N26" s="450"/>
      <c r="O26" s="450"/>
      <c r="P26" s="450"/>
      <c r="Q26" s="450"/>
      <c r="R26" s="450"/>
      <c r="S26" s="450"/>
      <c r="T26" s="450"/>
      <c r="U26" s="450"/>
    </row>
    <row r="27" spans="2:21" ht="30" customHeight="1" x14ac:dyDescent="0.3">
      <c r="B27" s="63">
        <v>12</v>
      </c>
      <c r="C27" s="449" t="s">
        <v>946</v>
      </c>
      <c r="D27" s="449"/>
      <c r="E27" s="449"/>
      <c r="F27" s="449"/>
      <c r="G27" s="449"/>
      <c r="H27" s="449" t="s">
        <v>953</v>
      </c>
      <c r="I27" s="449"/>
      <c r="J27" s="449"/>
      <c r="K27" s="449"/>
      <c r="L27" s="449"/>
      <c r="M27" s="450" t="s">
        <v>954</v>
      </c>
      <c r="N27" s="450"/>
      <c r="O27" s="450"/>
      <c r="P27" s="450"/>
      <c r="Q27" s="450"/>
      <c r="R27" s="450"/>
      <c r="S27" s="450"/>
      <c r="T27" s="450"/>
      <c r="U27" s="450"/>
    </row>
    <row r="28" spans="2:21" ht="30" customHeight="1" x14ac:dyDescent="0.3">
      <c r="B28" s="63">
        <v>13</v>
      </c>
      <c r="C28" s="449" t="s">
        <v>946</v>
      </c>
      <c r="D28" s="449"/>
      <c r="E28" s="449"/>
      <c r="F28" s="449"/>
      <c r="G28" s="449"/>
      <c r="H28" s="449" t="s">
        <v>955</v>
      </c>
      <c r="I28" s="449"/>
      <c r="J28" s="449"/>
      <c r="K28" s="449"/>
      <c r="L28" s="449"/>
      <c r="M28" s="450" t="s">
        <v>956</v>
      </c>
      <c r="N28" s="450"/>
      <c r="O28" s="450"/>
      <c r="P28" s="450"/>
      <c r="Q28" s="450"/>
      <c r="R28" s="450"/>
      <c r="S28" s="450"/>
      <c r="T28" s="450"/>
      <c r="U28" s="450"/>
    </row>
    <row r="29" spans="2:21" ht="30" customHeight="1" x14ac:dyDescent="0.3">
      <c r="B29" s="451" t="s">
        <v>383</v>
      </c>
      <c r="C29" s="451"/>
      <c r="D29" s="451"/>
      <c r="E29" s="451"/>
      <c r="F29" s="451"/>
      <c r="G29" s="451"/>
      <c r="H29" s="451"/>
      <c r="I29" s="451"/>
      <c r="J29" s="451"/>
      <c r="K29" s="451"/>
      <c r="L29" s="451"/>
      <c r="M29" s="451"/>
      <c r="N29" s="451"/>
      <c r="O29" s="451"/>
      <c r="P29" s="451"/>
      <c r="Q29" s="451"/>
      <c r="R29" s="451"/>
      <c r="S29" s="451"/>
      <c r="T29" s="451"/>
      <c r="U29" s="451"/>
    </row>
    <row r="30" spans="2:21" ht="30" customHeight="1" x14ac:dyDescent="0.3">
      <c r="B30" s="63">
        <v>14</v>
      </c>
      <c r="C30" s="449" t="s">
        <v>383</v>
      </c>
      <c r="D30" s="449"/>
      <c r="E30" s="449"/>
      <c r="F30" s="449"/>
      <c r="G30" s="449"/>
      <c r="H30" s="449" t="s">
        <v>957</v>
      </c>
      <c r="I30" s="449"/>
      <c r="J30" s="449"/>
      <c r="K30" s="449"/>
      <c r="L30" s="449"/>
      <c r="M30" s="450" t="s">
        <v>958</v>
      </c>
      <c r="N30" s="450"/>
      <c r="O30" s="450"/>
      <c r="P30" s="450"/>
      <c r="Q30" s="450"/>
      <c r="R30" s="450"/>
      <c r="S30" s="450"/>
      <c r="T30" s="450"/>
      <c r="U30" s="450"/>
    </row>
    <row r="31" spans="2:21" ht="30" customHeight="1" x14ac:dyDescent="0.3">
      <c r="B31" s="63">
        <v>15</v>
      </c>
      <c r="C31" s="449" t="s">
        <v>383</v>
      </c>
      <c r="D31" s="449"/>
      <c r="E31" s="449"/>
      <c r="F31" s="449"/>
      <c r="G31" s="449"/>
      <c r="H31" s="449" t="s">
        <v>959</v>
      </c>
      <c r="I31" s="449"/>
      <c r="J31" s="449"/>
      <c r="K31" s="449"/>
      <c r="L31" s="449"/>
      <c r="M31" s="450" t="s">
        <v>960</v>
      </c>
      <c r="N31" s="450"/>
      <c r="O31" s="450"/>
      <c r="P31" s="450"/>
      <c r="Q31" s="450"/>
      <c r="R31" s="450"/>
      <c r="S31" s="450"/>
      <c r="T31" s="450"/>
      <c r="U31" s="450"/>
    </row>
    <row r="32" spans="2:21" ht="30" customHeight="1" x14ac:dyDescent="0.3">
      <c r="B32" s="63">
        <v>16</v>
      </c>
      <c r="C32" s="449" t="s">
        <v>961</v>
      </c>
      <c r="D32" s="449"/>
      <c r="E32" s="449"/>
      <c r="F32" s="449"/>
      <c r="G32" s="449"/>
      <c r="H32" s="449" t="s">
        <v>962</v>
      </c>
      <c r="I32" s="449"/>
      <c r="J32" s="449"/>
      <c r="K32" s="449"/>
      <c r="L32" s="449"/>
      <c r="M32" s="450" t="s">
        <v>963</v>
      </c>
      <c r="N32" s="450"/>
      <c r="O32" s="450"/>
      <c r="P32" s="450"/>
      <c r="Q32" s="450"/>
      <c r="R32" s="450"/>
      <c r="S32" s="450"/>
      <c r="T32" s="450"/>
      <c r="U32" s="450"/>
    </row>
    <row r="33" spans="2:21" ht="30" customHeight="1" x14ac:dyDescent="0.3">
      <c r="B33" s="63">
        <v>17</v>
      </c>
      <c r="C33" s="449" t="s">
        <v>383</v>
      </c>
      <c r="D33" s="449"/>
      <c r="E33" s="449"/>
      <c r="F33" s="449"/>
      <c r="G33" s="449"/>
      <c r="H33" s="449" t="s">
        <v>964</v>
      </c>
      <c r="I33" s="449"/>
      <c r="J33" s="449"/>
      <c r="K33" s="449"/>
      <c r="L33" s="449"/>
      <c r="M33" s="450" t="s">
        <v>965</v>
      </c>
      <c r="N33" s="450"/>
      <c r="O33" s="450"/>
      <c r="P33" s="450"/>
      <c r="Q33" s="450"/>
      <c r="R33" s="450"/>
      <c r="S33" s="450"/>
      <c r="T33" s="450"/>
      <c r="U33" s="450"/>
    </row>
    <row r="34" spans="2:21" ht="30" customHeight="1" x14ac:dyDescent="0.3">
      <c r="B34" s="63">
        <v>18</v>
      </c>
      <c r="C34" s="449" t="s">
        <v>383</v>
      </c>
      <c r="D34" s="449"/>
      <c r="E34" s="449"/>
      <c r="F34" s="449"/>
      <c r="G34" s="449"/>
      <c r="H34" s="449" t="s">
        <v>966</v>
      </c>
      <c r="I34" s="449"/>
      <c r="J34" s="449"/>
      <c r="K34" s="449"/>
      <c r="L34" s="449"/>
      <c r="M34" s="450" t="s">
        <v>967</v>
      </c>
      <c r="N34" s="450"/>
      <c r="O34" s="450"/>
      <c r="P34" s="450"/>
      <c r="Q34" s="450"/>
      <c r="R34" s="450"/>
      <c r="S34" s="450"/>
      <c r="T34" s="450"/>
      <c r="U34" s="450"/>
    </row>
    <row r="35" spans="2:21" ht="30" customHeight="1" x14ac:dyDescent="0.3">
      <c r="B35" s="451" t="s">
        <v>968</v>
      </c>
      <c r="C35" s="451"/>
      <c r="D35" s="451"/>
      <c r="E35" s="451"/>
      <c r="F35" s="451"/>
      <c r="G35" s="451"/>
      <c r="H35" s="451"/>
      <c r="I35" s="451"/>
      <c r="J35" s="451"/>
      <c r="K35" s="451"/>
      <c r="L35" s="451"/>
      <c r="M35" s="451"/>
      <c r="N35" s="451"/>
      <c r="O35" s="451"/>
      <c r="P35" s="451"/>
      <c r="Q35" s="451"/>
      <c r="R35" s="451"/>
      <c r="S35" s="451"/>
      <c r="T35" s="451"/>
      <c r="U35" s="451"/>
    </row>
    <row r="36" spans="2:21" ht="30" customHeight="1" x14ac:dyDescent="0.3">
      <c r="B36" s="63">
        <v>19</v>
      </c>
      <c r="C36" s="449" t="s">
        <v>968</v>
      </c>
      <c r="D36" s="449"/>
      <c r="E36" s="449"/>
      <c r="F36" s="449"/>
      <c r="G36" s="449"/>
      <c r="H36" s="449" t="s">
        <v>969</v>
      </c>
      <c r="I36" s="449"/>
      <c r="J36" s="449"/>
      <c r="K36" s="449"/>
      <c r="L36" s="449"/>
      <c r="M36" s="450" t="s">
        <v>970</v>
      </c>
      <c r="N36" s="450"/>
      <c r="O36" s="450"/>
      <c r="P36" s="450"/>
      <c r="Q36" s="450"/>
      <c r="R36" s="450"/>
      <c r="S36" s="450"/>
      <c r="T36" s="450"/>
      <c r="U36" s="450"/>
    </row>
    <row r="37" spans="2:21" ht="30" customHeight="1" x14ac:dyDescent="0.3">
      <c r="B37" s="63">
        <v>20</v>
      </c>
      <c r="C37" s="449" t="s">
        <v>968</v>
      </c>
      <c r="D37" s="449"/>
      <c r="E37" s="449"/>
      <c r="F37" s="449"/>
      <c r="G37" s="449"/>
      <c r="H37" s="449" t="s">
        <v>971</v>
      </c>
      <c r="I37" s="449"/>
      <c r="J37" s="449"/>
      <c r="K37" s="449"/>
      <c r="L37" s="449"/>
      <c r="M37" s="450" t="s">
        <v>972</v>
      </c>
      <c r="N37" s="450"/>
      <c r="O37" s="450"/>
      <c r="P37" s="450"/>
      <c r="Q37" s="450"/>
      <c r="R37" s="450"/>
      <c r="S37" s="450"/>
      <c r="T37" s="450"/>
      <c r="U37" s="450"/>
    </row>
    <row r="38" spans="2:21" ht="30" customHeight="1" x14ac:dyDescent="0.3">
      <c r="B38" s="63">
        <v>21</v>
      </c>
      <c r="C38" s="449" t="s">
        <v>968</v>
      </c>
      <c r="D38" s="449"/>
      <c r="E38" s="449"/>
      <c r="F38" s="449"/>
      <c r="G38" s="449"/>
      <c r="H38" s="449" t="s">
        <v>973</v>
      </c>
      <c r="I38" s="449"/>
      <c r="J38" s="449"/>
      <c r="K38" s="449"/>
      <c r="L38" s="449"/>
      <c r="M38" s="450" t="s">
        <v>974</v>
      </c>
      <c r="N38" s="450"/>
      <c r="O38" s="450"/>
      <c r="P38" s="450"/>
      <c r="Q38" s="450"/>
      <c r="R38" s="450"/>
      <c r="S38" s="450"/>
      <c r="T38" s="450"/>
      <c r="U38" s="450"/>
    </row>
    <row r="39" spans="2:21" ht="30" customHeight="1" x14ac:dyDescent="0.3">
      <c r="B39" s="63">
        <v>22</v>
      </c>
      <c r="C39" s="449" t="s">
        <v>968</v>
      </c>
      <c r="D39" s="449"/>
      <c r="E39" s="449"/>
      <c r="F39" s="449"/>
      <c r="G39" s="449"/>
      <c r="H39" s="449" t="s">
        <v>975</v>
      </c>
      <c r="I39" s="449"/>
      <c r="J39" s="449"/>
      <c r="K39" s="449"/>
      <c r="L39" s="449"/>
      <c r="M39" s="450" t="s">
        <v>976</v>
      </c>
      <c r="N39" s="450"/>
      <c r="O39" s="450"/>
      <c r="P39" s="450"/>
      <c r="Q39" s="450"/>
      <c r="R39" s="450"/>
      <c r="S39" s="450"/>
      <c r="T39" s="450"/>
      <c r="U39" s="450"/>
    </row>
    <row r="40" spans="2:21" ht="30" customHeight="1" x14ac:dyDescent="0.3">
      <c r="B40" s="63">
        <v>23</v>
      </c>
      <c r="C40" s="449" t="s">
        <v>968</v>
      </c>
      <c r="D40" s="449"/>
      <c r="E40" s="449"/>
      <c r="F40" s="449"/>
      <c r="G40" s="449"/>
      <c r="H40" s="449" t="s">
        <v>977</v>
      </c>
      <c r="I40" s="449"/>
      <c r="J40" s="449"/>
      <c r="K40" s="449"/>
      <c r="L40" s="449"/>
      <c r="M40" s="450" t="s">
        <v>978</v>
      </c>
      <c r="N40" s="450"/>
      <c r="O40" s="450"/>
      <c r="P40" s="450"/>
      <c r="Q40" s="450"/>
      <c r="R40" s="450"/>
      <c r="S40" s="450"/>
      <c r="T40" s="450"/>
      <c r="U40" s="450"/>
    </row>
    <row r="41" spans="2:21" ht="30" customHeight="1" x14ac:dyDescent="0.3">
      <c r="B41" s="63">
        <v>24</v>
      </c>
      <c r="C41" s="449" t="s">
        <v>968</v>
      </c>
      <c r="D41" s="449"/>
      <c r="E41" s="449"/>
      <c r="F41" s="449"/>
      <c r="G41" s="449"/>
      <c r="H41" s="449" t="s">
        <v>979</v>
      </c>
      <c r="I41" s="449"/>
      <c r="J41" s="449"/>
      <c r="K41" s="449"/>
      <c r="L41" s="449"/>
      <c r="M41" s="450" t="s">
        <v>980</v>
      </c>
      <c r="N41" s="450"/>
      <c r="O41" s="450"/>
      <c r="P41" s="450"/>
      <c r="Q41" s="450"/>
      <c r="R41" s="450"/>
      <c r="S41" s="450"/>
      <c r="T41" s="450"/>
      <c r="U41" s="450"/>
    </row>
    <row r="42" spans="2:21" ht="30" customHeight="1" x14ac:dyDescent="0.3">
      <c r="B42" s="63">
        <v>25</v>
      </c>
      <c r="C42" s="449" t="s">
        <v>968</v>
      </c>
      <c r="D42" s="449"/>
      <c r="E42" s="449"/>
      <c r="F42" s="449"/>
      <c r="G42" s="449"/>
      <c r="H42" s="449" t="s">
        <v>981</v>
      </c>
      <c r="I42" s="449"/>
      <c r="J42" s="449"/>
      <c r="K42" s="449"/>
      <c r="L42" s="449"/>
      <c r="M42" s="450" t="s">
        <v>982</v>
      </c>
      <c r="N42" s="450"/>
      <c r="O42" s="450"/>
      <c r="P42" s="450"/>
      <c r="Q42" s="450"/>
      <c r="R42" s="450"/>
      <c r="S42" s="450"/>
      <c r="T42" s="450"/>
      <c r="U42" s="450"/>
    </row>
    <row r="43" spans="2:21" ht="30" customHeight="1" x14ac:dyDescent="0.3">
      <c r="B43" s="63">
        <v>26</v>
      </c>
      <c r="C43" s="449" t="s">
        <v>968</v>
      </c>
      <c r="D43" s="449"/>
      <c r="E43" s="449"/>
      <c r="F43" s="449"/>
      <c r="G43" s="449"/>
      <c r="H43" s="449" t="s">
        <v>983</v>
      </c>
      <c r="I43" s="449"/>
      <c r="J43" s="449"/>
      <c r="K43" s="449"/>
      <c r="L43" s="449"/>
      <c r="M43" s="450" t="s">
        <v>984</v>
      </c>
      <c r="N43" s="450"/>
      <c r="O43" s="450"/>
      <c r="P43" s="450"/>
      <c r="Q43" s="450"/>
      <c r="R43" s="450"/>
      <c r="S43" s="450"/>
      <c r="T43" s="450"/>
      <c r="U43" s="450"/>
    </row>
    <row r="44" spans="2:21" ht="30" customHeight="1" x14ac:dyDescent="0.3">
      <c r="B44" s="63">
        <v>27</v>
      </c>
      <c r="C44" s="449" t="s">
        <v>968</v>
      </c>
      <c r="D44" s="449"/>
      <c r="E44" s="449"/>
      <c r="F44" s="449"/>
      <c r="G44" s="449"/>
      <c r="H44" s="449" t="s">
        <v>985</v>
      </c>
      <c r="I44" s="449"/>
      <c r="J44" s="449"/>
      <c r="K44" s="449"/>
      <c r="L44" s="449"/>
      <c r="M44" s="450" t="s">
        <v>986</v>
      </c>
      <c r="N44" s="450"/>
      <c r="O44" s="450"/>
      <c r="P44" s="450"/>
      <c r="Q44" s="450"/>
      <c r="R44" s="450"/>
      <c r="S44" s="450"/>
      <c r="T44" s="450"/>
      <c r="U44" s="450"/>
    </row>
    <row r="45" spans="2:21" ht="30" customHeight="1" x14ac:dyDescent="0.3">
      <c r="B45" s="451" t="s">
        <v>987</v>
      </c>
      <c r="C45" s="451"/>
      <c r="D45" s="451"/>
      <c r="E45" s="451"/>
      <c r="F45" s="451"/>
      <c r="G45" s="451"/>
      <c r="H45" s="451"/>
      <c r="I45" s="451"/>
      <c r="J45" s="451"/>
      <c r="K45" s="451"/>
      <c r="L45" s="451"/>
      <c r="M45" s="451"/>
      <c r="N45" s="451"/>
      <c r="O45" s="451"/>
      <c r="P45" s="451"/>
      <c r="Q45" s="451"/>
      <c r="R45" s="451"/>
      <c r="S45" s="451"/>
      <c r="T45" s="451"/>
      <c r="U45" s="451"/>
    </row>
    <row r="46" spans="2:21" ht="30" customHeight="1" x14ac:dyDescent="0.3">
      <c r="B46" s="63">
        <v>28</v>
      </c>
      <c r="C46" s="449" t="s">
        <v>987</v>
      </c>
      <c r="D46" s="449"/>
      <c r="E46" s="449"/>
      <c r="F46" s="449"/>
      <c r="G46" s="449"/>
      <c r="H46" s="449" t="s">
        <v>988</v>
      </c>
      <c r="I46" s="449"/>
      <c r="J46" s="449"/>
      <c r="K46" s="449"/>
      <c r="L46" s="449"/>
      <c r="M46" s="450" t="s">
        <v>989</v>
      </c>
      <c r="N46" s="450"/>
      <c r="O46" s="450"/>
      <c r="P46" s="450"/>
      <c r="Q46" s="450"/>
      <c r="R46" s="450"/>
      <c r="S46" s="450"/>
      <c r="T46" s="450"/>
      <c r="U46" s="450"/>
    </row>
    <row r="47" spans="2:21" ht="30" customHeight="1" x14ac:dyDescent="0.3">
      <c r="B47" s="63">
        <v>29</v>
      </c>
      <c r="C47" s="449" t="s">
        <v>987</v>
      </c>
      <c r="D47" s="449"/>
      <c r="E47" s="449"/>
      <c r="F47" s="449"/>
      <c r="G47" s="449"/>
      <c r="H47" s="449" t="s">
        <v>990</v>
      </c>
      <c r="I47" s="449"/>
      <c r="J47" s="449"/>
      <c r="K47" s="449"/>
      <c r="L47" s="449"/>
      <c r="M47" s="450"/>
      <c r="N47" s="450"/>
      <c r="O47" s="450"/>
      <c r="P47" s="450"/>
      <c r="Q47" s="450"/>
      <c r="R47" s="450"/>
      <c r="S47" s="450"/>
      <c r="T47" s="450"/>
      <c r="U47" s="450"/>
    </row>
    <row r="48" spans="2:21" ht="30" customHeight="1" x14ac:dyDescent="0.3">
      <c r="B48" s="63">
        <v>30</v>
      </c>
      <c r="C48" s="449" t="s">
        <v>987</v>
      </c>
      <c r="D48" s="449"/>
      <c r="E48" s="449"/>
      <c r="F48" s="449"/>
      <c r="G48" s="449"/>
      <c r="H48" s="449" t="s">
        <v>991</v>
      </c>
      <c r="I48" s="449"/>
      <c r="J48" s="449"/>
      <c r="K48" s="449"/>
      <c r="L48" s="449"/>
      <c r="M48" s="450"/>
      <c r="N48" s="450"/>
      <c r="O48" s="450"/>
      <c r="P48" s="450"/>
      <c r="Q48" s="450"/>
      <c r="R48" s="450"/>
      <c r="S48" s="450"/>
      <c r="T48" s="450"/>
      <c r="U48" s="450"/>
    </row>
    <row r="49" spans="2:21" ht="30" customHeight="1" x14ac:dyDescent="0.3">
      <c r="B49" s="63">
        <v>31</v>
      </c>
      <c r="C49" s="449" t="s">
        <v>987</v>
      </c>
      <c r="D49" s="449"/>
      <c r="E49" s="449"/>
      <c r="F49" s="449"/>
      <c r="G49" s="449"/>
      <c r="H49" s="449" t="s">
        <v>992</v>
      </c>
      <c r="I49" s="449"/>
      <c r="J49" s="449"/>
      <c r="K49" s="449"/>
      <c r="L49" s="449"/>
      <c r="M49" s="450"/>
      <c r="N49" s="450"/>
      <c r="O49" s="450"/>
      <c r="P49" s="450"/>
      <c r="Q49" s="450"/>
      <c r="R49" s="450"/>
      <c r="S49" s="450"/>
      <c r="T49" s="450"/>
      <c r="U49" s="450"/>
    </row>
    <row r="50" spans="2:21" ht="30" customHeight="1" x14ac:dyDescent="0.3">
      <c r="B50" s="451" t="s">
        <v>993</v>
      </c>
      <c r="C50" s="451"/>
      <c r="D50" s="451"/>
      <c r="E50" s="451"/>
      <c r="F50" s="451"/>
      <c r="G50" s="451"/>
      <c r="H50" s="451"/>
      <c r="I50" s="451"/>
      <c r="J50" s="451"/>
      <c r="K50" s="451"/>
      <c r="L50" s="451"/>
      <c r="M50" s="451"/>
      <c r="N50" s="451"/>
      <c r="O50" s="451"/>
      <c r="P50" s="451"/>
      <c r="Q50" s="451"/>
      <c r="R50" s="451"/>
      <c r="S50" s="451"/>
      <c r="T50" s="451"/>
      <c r="U50" s="451"/>
    </row>
    <row r="51" spans="2:21" ht="30" customHeight="1" x14ac:dyDescent="0.3">
      <c r="B51" s="63">
        <v>32</v>
      </c>
      <c r="C51" s="449" t="s">
        <v>994</v>
      </c>
      <c r="D51" s="449"/>
      <c r="E51" s="449"/>
      <c r="F51" s="449"/>
      <c r="G51" s="449"/>
      <c r="H51" s="449" t="s">
        <v>995</v>
      </c>
      <c r="I51" s="449"/>
      <c r="J51" s="449"/>
      <c r="K51" s="449"/>
      <c r="L51" s="449"/>
      <c r="M51" s="450" t="s">
        <v>996</v>
      </c>
      <c r="N51" s="450"/>
      <c r="O51" s="450"/>
      <c r="P51" s="450"/>
      <c r="Q51" s="450"/>
      <c r="R51" s="450"/>
      <c r="S51" s="450"/>
      <c r="T51" s="450"/>
      <c r="U51" s="450"/>
    </row>
    <row r="52" spans="2:21" ht="30" customHeight="1" x14ac:dyDescent="0.3">
      <c r="B52" s="63">
        <v>33</v>
      </c>
      <c r="C52" s="449" t="s">
        <v>994</v>
      </c>
      <c r="D52" s="449"/>
      <c r="E52" s="449"/>
      <c r="F52" s="449"/>
      <c r="G52" s="449"/>
      <c r="H52" s="449" t="s">
        <v>997</v>
      </c>
      <c r="I52" s="449"/>
      <c r="J52" s="449"/>
      <c r="K52" s="449"/>
      <c r="L52" s="449"/>
      <c r="M52" s="450"/>
      <c r="N52" s="450"/>
      <c r="O52" s="450"/>
      <c r="P52" s="450"/>
      <c r="Q52" s="450"/>
      <c r="R52" s="450"/>
      <c r="S52" s="450"/>
      <c r="T52" s="450"/>
      <c r="U52" s="450"/>
    </row>
    <row r="53" spans="2:21" ht="30" customHeight="1" x14ac:dyDescent="0.3">
      <c r="B53" s="63">
        <v>34</v>
      </c>
      <c r="C53" s="449" t="s">
        <v>994</v>
      </c>
      <c r="D53" s="449"/>
      <c r="E53" s="449"/>
      <c r="F53" s="449"/>
      <c r="G53" s="449"/>
      <c r="H53" s="449" t="s">
        <v>998</v>
      </c>
      <c r="I53" s="449"/>
      <c r="J53" s="449"/>
      <c r="K53" s="449"/>
      <c r="L53" s="449"/>
      <c r="M53" s="450"/>
      <c r="N53" s="450"/>
      <c r="O53" s="450"/>
      <c r="P53" s="450"/>
      <c r="Q53" s="450"/>
      <c r="R53" s="450"/>
      <c r="S53" s="450"/>
      <c r="T53" s="450"/>
      <c r="U53" s="450"/>
    </row>
    <row r="54" spans="2:21" ht="30" customHeight="1" x14ac:dyDescent="0.3">
      <c r="B54" s="63">
        <v>35</v>
      </c>
      <c r="C54" s="449" t="s">
        <v>994</v>
      </c>
      <c r="D54" s="449"/>
      <c r="E54" s="449"/>
      <c r="F54" s="449"/>
      <c r="G54" s="449"/>
      <c r="H54" s="449" t="s">
        <v>999</v>
      </c>
      <c r="I54" s="449"/>
      <c r="J54" s="449"/>
      <c r="K54" s="449"/>
      <c r="L54" s="449"/>
      <c r="M54" s="450"/>
      <c r="N54" s="450"/>
      <c r="O54" s="450"/>
      <c r="P54" s="450"/>
      <c r="Q54" s="450"/>
      <c r="R54" s="450"/>
      <c r="S54" s="450"/>
      <c r="T54" s="450"/>
      <c r="U54" s="450"/>
    </row>
    <row r="55" spans="2:21" ht="30" customHeight="1" x14ac:dyDescent="0.3">
      <c r="B55" s="451" t="s">
        <v>1000</v>
      </c>
      <c r="C55" s="451"/>
      <c r="D55" s="451"/>
      <c r="E55" s="451"/>
      <c r="F55" s="451"/>
      <c r="G55" s="451"/>
      <c r="H55" s="451"/>
      <c r="I55" s="451"/>
      <c r="J55" s="451"/>
      <c r="K55" s="451"/>
      <c r="L55" s="451"/>
      <c r="M55" s="451"/>
      <c r="N55" s="451"/>
      <c r="O55" s="451"/>
      <c r="P55" s="451"/>
      <c r="Q55" s="451"/>
      <c r="R55" s="451"/>
      <c r="S55" s="451"/>
      <c r="T55" s="451"/>
      <c r="U55" s="451"/>
    </row>
    <row r="56" spans="2:21" ht="30" customHeight="1" x14ac:dyDescent="0.3">
      <c r="B56" s="63">
        <v>36</v>
      </c>
      <c r="C56" s="449" t="s">
        <v>1000</v>
      </c>
      <c r="D56" s="449"/>
      <c r="E56" s="449"/>
      <c r="F56" s="449"/>
      <c r="G56" s="449"/>
      <c r="H56" s="449" t="s">
        <v>1001</v>
      </c>
      <c r="I56" s="449"/>
      <c r="J56" s="449"/>
      <c r="K56" s="449"/>
      <c r="L56" s="449"/>
      <c r="M56" s="450"/>
      <c r="N56" s="450"/>
      <c r="O56" s="450"/>
      <c r="P56" s="450"/>
      <c r="Q56" s="450"/>
      <c r="R56" s="450"/>
      <c r="S56" s="450"/>
      <c r="T56" s="450"/>
      <c r="U56" s="450"/>
    </row>
    <row r="57" spans="2:21" ht="30" customHeight="1" x14ac:dyDescent="0.3">
      <c r="B57" s="63">
        <v>37</v>
      </c>
      <c r="C57" s="449" t="s">
        <v>1000</v>
      </c>
      <c r="D57" s="449"/>
      <c r="E57" s="449"/>
      <c r="F57" s="449"/>
      <c r="G57" s="449"/>
      <c r="H57" s="449" t="s">
        <v>1002</v>
      </c>
      <c r="I57" s="449"/>
      <c r="J57" s="449"/>
      <c r="K57" s="449"/>
      <c r="L57" s="449"/>
      <c r="M57" s="450"/>
      <c r="N57" s="450"/>
      <c r="O57" s="450"/>
      <c r="P57" s="450"/>
      <c r="Q57" s="450"/>
      <c r="R57" s="450"/>
      <c r="S57" s="450"/>
      <c r="T57" s="450"/>
      <c r="U57" s="450"/>
    </row>
    <row r="58" spans="2:21" ht="30" customHeight="1" x14ac:dyDescent="0.3">
      <c r="B58" s="63">
        <v>38</v>
      </c>
      <c r="C58" s="449" t="s">
        <v>1000</v>
      </c>
      <c r="D58" s="449"/>
      <c r="E58" s="449"/>
      <c r="F58" s="449"/>
      <c r="G58" s="449"/>
      <c r="H58" s="449" t="s">
        <v>1003</v>
      </c>
      <c r="I58" s="449"/>
      <c r="J58" s="449"/>
      <c r="K58" s="449"/>
      <c r="L58" s="449"/>
      <c r="M58" s="450"/>
      <c r="N58" s="450"/>
      <c r="O58" s="450"/>
      <c r="P58" s="450"/>
      <c r="Q58" s="450"/>
      <c r="R58" s="450"/>
      <c r="S58" s="450"/>
      <c r="T58" s="450"/>
      <c r="U58" s="450"/>
    </row>
    <row r="59" spans="2:21" ht="30" customHeight="1" x14ac:dyDescent="0.3">
      <c r="B59" s="63">
        <v>39</v>
      </c>
      <c r="C59" s="449" t="s">
        <v>1000</v>
      </c>
      <c r="D59" s="449"/>
      <c r="E59" s="449"/>
      <c r="F59" s="449"/>
      <c r="G59" s="449"/>
      <c r="H59" s="449" t="s">
        <v>1004</v>
      </c>
      <c r="I59" s="449"/>
      <c r="J59" s="449"/>
      <c r="K59" s="449"/>
      <c r="L59" s="449"/>
      <c r="M59" s="450"/>
      <c r="N59" s="450"/>
      <c r="O59" s="450"/>
      <c r="P59" s="450"/>
      <c r="Q59" s="450"/>
      <c r="R59" s="450"/>
      <c r="S59" s="450"/>
      <c r="T59" s="450"/>
      <c r="U59" s="450"/>
    </row>
    <row r="60" spans="2:21" ht="30" customHeight="1" x14ac:dyDescent="0.3">
      <c r="B60" s="63">
        <v>40</v>
      </c>
      <c r="C60" s="449" t="s">
        <v>1000</v>
      </c>
      <c r="D60" s="449"/>
      <c r="E60" s="449"/>
      <c r="F60" s="449"/>
      <c r="G60" s="449"/>
      <c r="H60" s="449" t="s">
        <v>1005</v>
      </c>
      <c r="I60" s="449"/>
      <c r="J60" s="449"/>
      <c r="K60" s="449"/>
      <c r="L60" s="449"/>
      <c r="M60" s="450" t="s">
        <v>1006</v>
      </c>
      <c r="N60" s="450"/>
      <c r="O60" s="450"/>
      <c r="P60" s="450"/>
      <c r="Q60" s="450"/>
      <c r="R60" s="450"/>
      <c r="S60" s="450"/>
      <c r="T60" s="450"/>
      <c r="U60" s="450"/>
    </row>
    <row r="61" spans="2:21" ht="30" customHeight="1" x14ac:dyDescent="0.3">
      <c r="B61" s="63">
        <v>41</v>
      </c>
      <c r="C61" s="449" t="s">
        <v>1000</v>
      </c>
      <c r="D61" s="449"/>
      <c r="E61" s="449"/>
      <c r="F61" s="449"/>
      <c r="G61" s="449"/>
      <c r="H61" s="449" t="s">
        <v>1007</v>
      </c>
      <c r="I61" s="449"/>
      <c r="J61" s="449"/>
      <c r="K61" s="449"/>
      <c r="L61" s="449"/>
      <c r="M61" s="450" t="s">
        <v>1008</v>
      </c>
      <c r="N61" s="450"/>
      <c r="O61" s="450"/>
      <c r="P61" s="450"/>
      <c r="Q61" s="450"/>
      <c r="R61" s="450"/>
      <c r="S61" s="450"/>
      <c r="T61" s="450"/>
      <c r="U61" s="450"/>
    </row>
    <row r="62" spans="2:21" ht="30" customHeight="1" x14ac:dyDescent="0.3">
      <c r="B62" s="451" t="s">
        <v>1009</v>
      </c>
      <c r="C62" s="451"/>
      <c r="D62" s="451"/>
      <c r="E62" s="451"/>
      <c r="F62" s="451"/>
      <c r="G62" s="451"/>
      <c r="H62" s="451"/>
      <c r="I62" s="451"/>
      <c r="J62" s="451"/>
      <c r="K62" s="451"/>
      <c r="L62" s="451"/>
      <c r="M62" s="451"/>
      <c r="N62" s="451"/>
      <c r="O62" s="451"/>
      <c r="P62" s="451"/>
      <c r="Q62" s="451"/>
      <c r="R62" s="451"/>
      <c r="S62" s="451"/>
      <c r="T62" s="451"/>
      <c r="U62" s="451"/>
    </row>
    <row r="63" spans="2:21" ht="30" customHeight="1" x14ac:dyDescent="0.3">
      <c r="B63" s="63">
        <v>42</v>
      </c>
      <c r="C63" s="449" t="s">
        <v>1009</v>
      </c>
      <c r="D63" s="449"/>
      <c r="E63" s="449"/>
      <c r="F63" s="449"/>
      <c r="G63" s="449"/>
      <c r="H63" s="449" t="s">
        <v>1010</v>
      </c>
      <c r="I63" s="449"/>
      <c r="J63" s="449"/>
      <c r="K63" s="449"/>
      <c r="L63" s="449"/>
      <c r="M63" s="450"/>
      <c r="N63" s="450"/>
      <c r="O63" s="450"/>
      <c r="P63" s="450"/>
      <c r="Q63" s="450"/>
      <c r="R63" s="450"/>
      <c r="S63" s="450"/>
      <c r="T63" s="450"/>
      <c r="U63" s="450"/>
    </row>
    <row r="64" spans="2:21" ht="30" customHeight="1" x14ac:dyDescent="0.3">
      <c r="B64" s="63">
        <v>43</v>
      </c>
      <c r="C64" s="449" t="s">
        <v>1009</v>
      </c>
      <c r="D64" s="449"/>
      <c r="E64" s="449"/>
      <c r="F64" s="449"/>
      <c r="G64" s="449"/>
      <c r="H64" s="449" t="s">
        <v>1011</v>
      </c>
      <c r="I64" s="449"/>
      <c r="J64" s="449"/>
      <c r="K64" s="449"/>
      <c r="L64" s="449"/>
      <c r="M64" s="450"/>
      <c r="N64" s="450"/>
      <c r="O64" s="450"/>
      <c r="P64" s="450"/>
      <c r="Q64" s="450"/>
      <c r="R64" s="450"/>
      <c r="S64" s="450"/>
      <c r="T64" s="450"/>
      <c r="U64" s="450"/>
    </row>
    <row r="65" spans="2:21" ht="30" customHeight="1" x14ac:dyDescent="0.3">
      <c r="B65" s="63">
        <v>44</v>
      </c>
      <c r="C65" s="449" t="s">
        <v>1009</v>
      </c>
      <c r="D65" s="449"/>
      <c r="E65" s="449"/>
      <c r="F65" s="449"/>
      <c r="G65" s="449"/>
      <c r="H65" s="449" t="s">
        <v>1012</v>
      </c>
      <c r="I65" s="449"/>
      <c r="J65" s="449"/>
      <c r="K65" s="449"/>
      <c r="L65" s="449"/>
      <c r="M65" s="450"/>
      <c r="N65" s="450"/>
      <c r="O65" s="450"/>
      <c r="P65" s="450"/>
      <c r="Q65" s="450"/>
      <c r="R65" s="450"/>
      <c r="S65" s="450"/>
      <c r="T65" s="450"/>
      <c r="U65" s="450"/>
    </row>
    <row r="66" spans="2:21" ht="30" customHeight="1" x14ac:dyDescent="0.3">
      <c r="B66" s="63">
        <v>45</v>
      </c>
      <c r="C66" s="449" t="s">
        <v>1009</v>
      </c>
      <c r="D66" s="449"/>
      <c r="E66" s="449"/>
      <c r="F66" s="449"/>
      <c r="G66" s="449"/>
      <c r="H66" s="449" t="s">
        <v>1013</v>
      </c>
      <c r="I66" s="449"/>
      <c r="J66" s="449"/>
      <c r="K66" s="449"/>
      <c r="L66" s="449"/>
      <c r="M66" s="450" t="s">
        <v>1014</v>
      </c>
      <c r="N66" s="450"/>
      <c r="O66" s="450"/>
      <c r="P66" s="450"/>
      <c r="Q66" s="450"/>
      <c r="R66" s="450"/>
      <c r="S66" s="450"/>
      <c r="T66" s="450"/>
      <c r="U66" s="450"/>
    </row>
    <row r="67" spans="2:21" ht="30" customHeight="1" x14ac:dyDescent="0.3">
      <c r="B67" s="63">
        <v>46</v>
      </c>
      <c r="C67" s="449" t="s">
        <v>1009</v>
      </c>
      <c r="D67" s="449"/>
      <c r="E67" s="449"/>
      <c r="F67" s="449"/>
      <c r="G67" s="449"/>
      <c r="H67" s="449" t="s">
        <v>1015</v>
      </c>
      <c r="I67" s="449"/>
      <c r="J67" s="449"/>
      <c r="K67" s="449"/>
      <c r="L67" s="449"/>
      <c r="M67" s="450" t="s">
        <v>1016</v>
      </c>
      <c r="N67" s="450"/>
      <c r="O67" s="450"/>
      <c r="P67" s="450"/>
      <c r="Q67" s="450"/>
      <c r="R67" s="450"/>
      <c r="S67" s="450"/>
      <c r="T67" s="450"/>
      <c r="U67" s="450"/>
    </row>
    <row r="68" spans="2:21" ht="30" customHeight="1" x14ac:dyDescent="0.3">
      <c r="B68" s="451" t="s">
        <v>1017</v>
      </c>
      <c r="C68" s="451"/>
      <c r="D68" s="451"/>
      <c r="E68" s="451"/>
      <c r="F68" s="451"/>
      <c r="G68" s="451"/>
      <c r="H68" s="451"/>
      <c r="I68" s="451"/>
      <c r="J68" s="451"/>
      <c r="K68" s="451"/>
      <c r="L68" s="451"/>
      <c r="M68" s="451"/>
      <c r="N68" s="451"/>
      <c r="O68" s="451"/>
      <c r="P68" s="451"/>
      <c r="Q68" s="451"/>
      <c r="R68" s="451"/>
      <c r="S68" s="451"/>
      <c r="T68" s="451"/>
      <c r="U68" s="451"/>
    </row>
    <row r="69" spans="2:21" ht="30" customHeight="1" x14ac:dyDescent="0.3">
      <c r="B69" s="63">
        <v>47</v>
      </c>
      <c r="C69" s="449" t="s">
        <v>1017</v>
      </c>
      <c r="D69" s="449"/>
      <c r="E69" s="449"/>
      <c r="F69" s="449"/>
      <c r="G69" s="449"/>
      <c r="H69" s="449" t="s">
        <v>1018</v>
      </c>
      <c r="I69" s="449"/>
      <c r="J69" s="449"/>
      <c r="K69" s="449"/>
      <c r="L69" s="449"/>
      <c r="M69" s="450" t="s">
        <v>1019</v>
      </c>
      <c r="N69" s="450"/>
      <c r="O69" s="450"/>
      <c r="P69" s="450"/>
      <c r="Q69" s="450"/>
      <c r="R69" s="450"/>
      <c r="S69" s="450"/>
      <c r="T69" s="450"/>
      <c r="U69" s="450"/>
    </row>
    <row r="70" spans="2:21" ht="30" customHeight="1" x14ac:dyDescent="0.3">
      <c r="B70" s="63">
        <v>48</v>
      </c>
      <c r="C70" s="449" t="s">
        <v>1017</v>
      </c>
      <c r="D70" s="449"/>
      <c r="E70" s="449"/>
      <c r="F70" s="449"/>
      <c r="G70" s="449"/>
      <c r="H70" s="449" t="s">
        <v>1020</v>
      </c>
      <c r="I70" s="449"/>
      <c r="J70" s="449"/>
      <c r="K70" s="449"/>
      <c r="L70" s="449"/>
      <c r="M70" s="450" t="s">
        <v>1021</v>
      </c>
      <c r="N70" s="450"/>
      <c r="O70" s="450"/>
      <c r="P70" s="450"/>
      <c r="Q70" s="450"/>
      <c r="R70" s="450"/>
      <c r="S70" s="450"/>
      <c r="T70" s="450"/>
      <c r="U70" s="450"/>
    </row>
    <row r="71" spans="2:21" ht="30" customHeight="1" x14ac:dyDescent="0.3">
      <c r="B71" s="63">
        <v>49</v>
      </c>
      <c r="C71" s="449" t="s">
        <v>1017</v>
      </c>
      <c r="D71" s="449"/>
      <c r="E71" s="449"/>
      <c r="F71" s="449"/>
      <c r="G71" s="449"/>
      <c r="H71" s="449" t="s">
        <v>1022</v>
      </c>
      <c r="I71" s="449"/>
      <c r="J71" s="449"/>
      <c r="K71" s="449"/>
      <c r="L71" s="449"/>
      <c r="M71" s="450" t="s">
        <v>1023</v>
      </c>
      <c r="N71" s="450"/>
      <c r="O71" s="450"/>
      <c r="P71" s="450"/>
      <c r="Q71" s="450"/>
      <c r="R71" s="450"/>
      <c r="S71" s="450"/>
      <c r="T71" s="450"/>
      <c r="U71" s="450"/>
    </row>
    <row r="72" spans="2:21" ht="30" customHeight="1" x14ac:dyDescent="0.3">
      <c r="B72" s="63">
        <v>50</v>
      </c>
      <c r="C72" s="449" t="s">
        <v>1017</v>
      </c>
      <c r="D72" s="449"/>
      <c r="E72" s="449"/>
      <c r="F72" s="449"/>
      <c r="G72" s="449"/>
      <c r="H72" s="449" t="s">
        <v>1024</v>
      </c>
      <c r="I72" s="449"/>
      <c r="J72" s="449"/>
      <c r="K72" s="449"/>
      <c r="L72" s="449"/>
      <c r="M72" s="450" t="s">
        <v>1025</v>
      </c>
      <c r="N72" s="450"/>
      <c r="O72" s="450"/>
      <c r="P72" s="450"/>
      <c r="Q72" s="450"/>
      <c r="R72" s="450"/>
      <c r="S72" s="450"/>
      <c r="T72" s="450"/>
      <c r="U72" s="450"/>
    </row>
    <row r="73" spans="2:21" ht="30" customHeight="1" x14ac:dyDescent="0.3">
      <c r="B73" s="451" t="s">
        <v>492</v>
      </c>
      <c r="C73" s="451"/>
      <c r="D73" s="451"/>
      <c r="E73" s="451"/>
      <c r="F73" s="451"/>
      <c r="G73" s="451"/>
      <c r="H73" s="451"/>
      <c r="I73" s="451"/>
      <c r="J73" s="451"/>
      <c r="K73" s="451"/>
      <c r="L73" s="451"/>
      <c r="M73" s="451"/>
      <c r="N73" s="451"/>
      <c r="O73" s="451"/>
      <c r="P73" s="451"/>
      <c r="Q73" s="451"/>
      <c r="R73" s="451"/>
      <c r="S73" s="451"/>
      <c r="T73" s="451"/>
      <c r="U73" s="451"/>
    </row>
    <row r="74" spans="2:21" ht="30" customHeight="1" x14ac:dyDescent="0.3">
      <c r="B74" s="63">
        <v>51</v>
      </c>
      <c r="C74" s="449" t="s">
        <v>492</v>
      </c>
      <c r="D74" s="449"/>
      <c r="E74" s="449"/>
      <c r="F74" s="449"/>
      <c r="G74" s="449"/>
      <c r="H74" s="449" t="s">
        <v>1026</v>
      </c>
      <c r="I74" s="449"/>
      <c r="J74" s="449"/>
      <c r="K74" s="449"/>
      <c r="L74" s="449"/>
      <c r="M74" s="450" t="s">
        <v>1027</v>
      </c>
      <c r="N74" s="450"/>
      <c r="O74" s="450"/>
      <c r="P74" s="450"/>
      <c r="Q74" s="450"/>
      <c r="R74" s="450"/>
      <c r="S74" s="450"/>
      <c r="T74" s="450"/>
      <c r="U74" s="450"/>
    </row>
    <row r="75" spans="2:21" ht="30" customHeight="1" x14ac:dyDescent="0.3">
      <c r="B75" s="63">
        <v>52</v>
      </c>
      <c r="C75" s="449" t="s">
        <v>492</v>
      </c>
      <c r="D75" s="449"/>
      <c r="E75" s="449"/>
      <c r="F75" s="449"/>
      <c r="G75" s="449"/>
      <c r="H75" s="449" t="s">
        <v>1028</v>
      </c>
      <c r="I75" s="449"/>
      <c r="J75" s="449"/>
      <c r="K75" s="449"/>
      <c r="L75" s="449"/>
      <c r="M75" s="450" t="s">
        <v>1029</v>
      </c>
      <c r="N75" s="450"/>
      <c r="O75" s="450"/>
      <c r="P75" s="450"/>
      <c r="Q75" s="450"/>
      <c r="R75" s="450"/>
      <c r="S75" s="450"/>
      <c r="T75" s="450"/>
      <c r="U75" s="450"/>
    </row>
    <row r="76" spans="2:21" ht="30" customHeight="1" x14ac:dyDescent="0.3">
      <c r="B76" s="63">
        <v>53</v>
      </c>
      <c r="C76" s="449" t="s">
        <v>492</v>
      </c>
      <c r="D76" s="449"/>
      <c r="E76" s="449"/>
      <c r="F76" s="449"/>
      <c r="G76" s="449"/>
      <c r="H76" s="449" t="s">
        <v>1030</v>
      </c>
      <c r="I76" s="449"/>
      <c r="J76" s="449"/>
      <c r="K76" s="449"/>
      <c r="L76" s="449"/>
      <c r="M76" s="450" t="s">
        <v>1031</v>
      </c>
      <c r="N76" s="450"/>
      <c r="O76" s="450"/>
      <c r="P76" s="450"/>
      <c r="Q76" s="450"/>
      <c r="R76" s="450"/>
      <c r="S76" s="450"/>
      <c r="T76" s="450"/>
      <c r="U76" s="450"/>
    </row>
    <row r="77" spans="2:21" ht="30" customHeight="1" x14ac:dyDescent="0.3">
      <c r="B77" s="63">
        <v>54</v>
      </c>
      <c r="C77" s="449" t="s">
        <v>492</v>
      </c>
      <c r="D77" s="449"/>
      <c r="E77" s="449"/>
      <c r="F77" s="449"/>
      <c r="G77" s="449"/>
      <c r="H77" s="449" t="s">
        <v>1032</v>
      </c>
      <c r="I77" s="449"/>
      <c r="J77" s="449"/>
      <c r="K77" s="449"/>
      <c r="L77" s="449"/>
      <c r="M77" s="450" t="s">
        <v>1033</v>
      </c>
      <c r="N77" s="450"/>
      <c r="O77" s="450"/>
      <c r="P77" s="450"/>
      <c r="Q77" s="450"/>
      <c r="R77" s="450"/>
      <c r="S77" s="450"/>
      <c r="T77" s="450"/>
      <c r="U77" s="450"/>
    </row>
    <row r="78" spans="2:21" ht="30" customHeight="1" x14ac:dyDescent="0.3">
      <c r="B78" s="451" t="s">
        <v>1034</v>
      </c>
      <c r="C78" s="451"/>
      <c r="D78" s="451"/>
      <c r="E78" s="451"/>
      <c r="F78" s="451"/>
      <c r="G78" s="451"/>
      <c r="H78" s="451"/>
      <c r="I78" s="451"/>
      <c r="J78" s="451"/>
      <c r="K78" s="451"/>
      <c r="L78" s="451"/>
      <c r="M78" s="451"/>
      <c r="N78" s="451"/>
      <c r="O78" s="451"/>
      <c r="P78" s="451"/>
      <c r="Q78" s="451"/>
      <c r="R78" s="451"/>
      <c r="S78" s="451"/>
      <c r="T78" s="451"/>
      <c r="U78" s="451"/>
    </row>
    <row r="79" spans="2:21" ht="30" customHeight="1" x14ac:dyDescent="0.3">
      <c r="B79" s="63">
        <v>55</v>
      </c>
      <c r="C79" s="449" t="s">
        <v>1034</v>
      </c>
      <c r="D79" s="449"/>
      <c r="E79" s="449"/>
      <c r="F79" s="449"/>
      <c r="G79" s="449"/>
      <c r="H79" s="449" t="s">
        <v>1035</v>
      </c>
      <c r="I79" s="449"/>
      <c r="J79" s="449"/>
      <c r="K79" s="449"/>
      <c r="L79" s="449"/>
      <c r="M79" s="450"/>
      <c r="N79" s="450"/>
      <c r="O79" s="450"/>
      <c r="P79" s="450"/>
      <c r="Q79" s="450"/>
      <c r="R79" s="450"/>
      <c r="S79" s="450"/>
      <c r="T79" s="450"/>
      <c r="U79" s="450"/>
    </row>
    <row r="80" spans="2:21" ht="30" customHeight="1" x14ac:dyDescent="0.3">
      <c r="B80" s="63">
        <v>56</v>
      </c>
      <c r="C80" s="449" t="s">
        <v>1034</v>
      </c>
      <c r="D80" s="449"/>
      <c r="E80" s="449"/>
      <c r="F80" s="449"/>
      <c r="G80" s="449"/>
      <c r="H80" s="449" t="s">
        <v>1036</v>
      </c>
      <c r="I80" s="449"/>
      <c r="J80" s="449"/>
      <c r="K80" s="449"/>
      <c r="L80" s="449"/>
      <c r="M80" s="450"/>
      <c r="N80" s="450"/>
      <c r="O80" s="450"/>
      <c r="P80" s="450"/>
      <c r="Q80" s="450"/>
      <c r="R80" s="450"/>
      <c r="S80" s="450"/>
      <c r="T80" s="450"/>
      <c r="U80" s="450"/>
    </row>
    <row r="81" spans="2:21" ht="30" customHeight="1" x14ac:dyDescent="0.3">
      <c r="B81" s="63">
        <v>57</v>
      </c>
      <c r="C81" s="449" t="s">
        <v>1034</v>
      </c>
      <c r="D81" s="449"/>
      <c r="E81" s="449"/>
      <c r="F81" s="449"/>
      <c r="G81" s="449"/>
      <c r="H81" s="449" t="s">
        <v>1037</v>
      </c>
      <c r="I81" s="449"/>
      <c r="J81" s="449"/>
      <c r="K81" s="449"/>
      <c r="L81" s="449"/>
      <c r="M81" s="450"/>
      <c r="N81" s="450"/>
      <c r="O81" s="450"/>
      <c r="P81" s="450"/>
      <c r="Q81" s="450"/>
      <c r="R81" s="450"/>
      <c r="S81" s="450"/>
      <c r="T81" s="450"/>
      <c r="U81" s="450"/>
    </row>
    <row r="82" spans="2:21" ht="30" customHeight="1" x14ac:dyDescent="0.3">
      <c r="B82" s="63">
        <v>58</v>
      </c>
      <c r="C82" s="449" t="s">
        <v>1034</v>
      </c>
      <c r="D82" s="449"/>
      <c r="E82" s="449"/>
      <c r="F82" s="449"/>
      <c r="G82" s="449"/>
      <c r="H82" s="449" t="s">
        <v>1038</v>
      </c>
      <c r="I82" s="449"/>
      <c r="J82" s="449"/>
      <c r="K82" s="449"/>
      <c r="L82" s="449"/>
      <c r="M82" s="450"/>
      <c r="N82" s="450"/>
      <c r="O82" s="450"/>
      <c r="P82" s="450"/>
      <c r="Q82" s="450"/>
      <c r="R82" s="450"/>
      <c r="S82" s="450"/>
      <c r="T82" s="450"/>
      <c r="U82" s="450"/>
    </row>
    <row r="83" spans="2:21" ht="30" customHeight="1" x14ac:dyDescent="0.3">
      <c r="B83" s="451" t="s">
        <v>1039</v>
      </c>
      <c r="C83" s="451"/>
      <c r="D83" s="451"/>
      <c r="E83" s="451"/>
      <c r="F83" s="451"/>
      <c r="G83" s="451"/>
      <c r="H83" s="451"/>
      <c r="I83" s="451"/>
      <c r="J83" s="451"/>
      <c r="K83" s="451"/>
      <c r="L83" s="451"/>
      <c r="M83" s="451"/>
      <c r="N83" s="451"/>
      <c r="O83" s="451"/>
      <c r="P83" s="451"/>
      <c r="Q83" s="451"/>
      <c r="R83" s="451"/>
      <c r="S83" s="451"/>
      <c r="T83" s="451"/>
      <c r="U83" s="451"/>
    </row>
    <row r="84" spans="2:21" ht="30" customHeight="1" x14ac:dyDescent="0.3">
      <c r="B84" s="63">
        <v>59</v>
      </c>
      <c r="C84" s="449" t="s">
        <v>1040</v>
      </c>
      <c r="D84" s="449"/>
      <c r="E84" s="449"/>
      <c r="F84" s="449"/>
      <c r="G84" s="449"/>
      <c r="H84" s="449" t="s">
        <v>1041</v>
      </c>
      <c r="I84" s="449"/>
      <c r="J84" s="449"/>
      <c r="K84" s="449"/>
      <c r="L84" s="449"/>
      <c r="M84" s="450" t="s">
        <v>1042</v>
      </c>
      <c r="N84" s="450"/>
      <c r="O84" s="450"/>
      <c r="P84" s="450"/>
      <c r="Q84" s="450"/>
      <c r="R84" s="450"/>
      <c r="S84" s="450"/>
      <c r="T84" s="450"/>
      <c r="U84" s="450"/>
    </row>
    <row r="85" spans="2:21" ht="30" customHeight="1" x14ac:dyDescent="0.3">
      <c r="B85" s="63">
        <v>59</v>
      </c>
      <c r="C85" s="449" t="s">
        <v>1040</v>
      </c>
      <c r="D85" s="449"/>
      <c r="E85" s="449"/>
      <c r="F85" s="449"/>
      <c r="G85" s="449"/>
      <c r="H85" s="449" t="s">
        <v>1043</v>
      </c>
      <c r="I85" s="449"/>
      <c r="J85" s="449"/>
      <c r="K85" s="449"/>
      <c r="L85" s="449"/>
      <c r="M85" s="450" t="s">
        <v>1044</v>
      </c>
      <c r="N85" s="450"/>
      <c r="O85" s="450"/>
      <c r="P85" s="450"/>
      <c r="Q85" s="450"/>
      <c r="R85" s="450"/>
      <c r="S85" s="450"/>
      <c r="T85" s="450"/>
      <c r="U85" s="450"/>
    </row>
    <row r="86" spans="2:21" ht="30" customHeight="1" x14ac:dyDescent="0.3">
      <c r="B86" s="63">
        <v>59</v>
      </c>
      <c r="C86" s="449" t="s">
        <v>1040</v>
      </c>
      <c r="D86" s="449"/>
      <c r="E86" s="449"/>
      <c r="F86" s="449"/>
      <c r="G86" s="449"/>
      <c r="H86" s="449" t="s">
        <v>1045</v>
      </c>
      <c r="I86" s="449"/>
      <c r="J86" s="449"/>
      <c r="K86" s="449"/>
      <c r="L86" s="449"/>
      <c r="M86" s="450" t="s">
        <v>1046</v>
      </c>
      <c r="N86" s="450"/>
      <c r="O86" s="450"/>
      <c r="P86" s="450"/>
      <c r="Q86" s="450"/>
      <c r="R86" s="450"/>
      <c r="S86" s="450"/>
      <c r="T86" s="450"/>
      <c r="U86" s="450"/>
    </row>
    <row r="87" spans="2:21" ht="30" customHeight="1" x14ac:dyDescent="0.3">
      <c r="B87" s="63">
        <v>59</v>
      </c>
      <c r="C87" s="449" t="s">
        <v>1040</v>
      </c>
      <c r="D87" s="449"/>
      <c r="E87" s="449"/>
      <c r="F87" s="449"/>
      <c r="G87" s="449"/>
      <c r="H87" s="449" t="s">
        <v>1047</v>
      </c>
      <c r="I87" s="449"/>
      <c r="J87" s="449"/>
      <c r="K87" s="449"/>
      <c r="L87" s="449"/>
      <c r="M87" s="450" t="s">
        <v>1048</v>
      </c>
      <c r="N87" s="450"/>
      <c r="O87" s="450"/>
      <c r="P87" s="450"/>
      <c r="Q87" s="450"/>
      <c r="R87" s="450"/>
      <c r="S87" s="450"/>
      <c r="T87" s="450"/>
      <c r="U87" s="450"/>
    </row>
    <row r="88" spans="2:21" ht="30" customHeight="1" x14ac:dyDescent="0.3">
      <c r="B88" s="63">
        <v>59</v>
      </c>
      <c r="C88" s="449" t="s">
        <v>1040</v>
      </c>
      <c r="D88" s="449"/>
      <c r="E88" s="449"/>
      <c r="F88" s="449"/>
      <c r="G88" s="449"/>
      <c r="H88" s="449" t="s">
        <v>1049</v>
      </c>
      <c r="I88" s="449"/>
      <c r="J88" s="449"/>
      <c r="K88" s="449"/>
      <c r="L88" s="449"/>
      <c r="M88" s="450" t="s">
        <v>1050</v>
      </c>
      <c r="N88" s="450"/>
      <c r="O88" s="450"/>
      <c r="P88" s="450"/>
      <c r="Q88" s="450"/>
      <c r="R88" s="450"/>
      <c r="S88" s="450"/>
      <c r="T88" s="450"/>
      <c r="U88" s="450"/>
    </row>
    <row r="89" spans="2:21" ht="30" customHeight="1" x14ac:dyDescent="0.3">
      <c r="B89" s="63">
        <v>59</v>
      </c>
      <c r="C89" s="449" t="s">
        <v>1051</v>
      </c>
      <c r="D89" s="449"/>
      <c r="E89" s="449"/>
      <c r="F89" s="449"/>
      <c r="G89" s="449"/>
      <c r="H89" s="449" t="s">
        <v>1052</v>
      </c>
      <c r="I89" s="449"/>
      <c r="J89" s="449"/>
      <c r="K89" s="449"/>
      <c r="L89" s="449"/>
      <c r="M89" s="450" t="s">
        <v>1053</v>
      </c>
      <c r="N89" s="450"/>
      <c r="O89" s="450"/>
      <c r="P89" s="450"/>
      <c r="Q89" s="450"/>
      <c r="R89" s="450"/>
      <c r="S89" s="450"/>
      <c r="T89" s="450"/>
      <c r="U89" s="450"/>
    </row>
    <row r="90" spans="2:21" ht="30" customHeight="1" x14ac:dyDescent="0.3">
      <c r="B90" s="64">
        <v>59</v>
      </c>
      <c r="C90" s="447" t="s">
        <v>1054</v>
      </c>
      <c r="D90" s="447"/>
      <c r="E90" s="447"/>
      <c r="F90" s="447"/>
      <c r="G90" s="447"/>
      <c r="H90" s="447" t="s">
        <v>1055</v>
      </c>
      <c r="I90" s="447"/>
      <c r="J90" s="447"/>
      <c r="K90" s="447"/>
      <c r="L90" s="447"/>
      <c r="M90" s="448" t="s">
        <v>1056</v>
      </c>
      <c r="N90" s="448" t="s">
        <v>1057</v>
      </c>
      <c r="O90" s="448"/>
      <c r="P90" s="448"/>
      <c r="Q90" s="448"/>
      <c r="R90" s="448"/>
      <c r="S90" s="448"/>
      <c r="T90" s="448"/>
      <c r="U90" s="448"/>
    </row>
    <row r="91" spans="2:21" ht="30" customHeight="1" x14ac:dyDescent="0.3"/>
    <row r="92" spans="2:21" ht="30" customHeight="1" x14ac:dyDescent="0.3"/>
    <row r="93" spans="2:21" ht="30" customHeight="1" x14ac:dyDescent="0.3"/>
    <row r="94" spans="2:21" ht="30" customHeight="1" x14ac:dyDescent="0.3"/>
    <row r="95" spans="2:21" ht="30" customHeight="1" x14ac:dyDescent="0.3"/>
    <row r="96" spans="2:21" ht="30" customHeight="1" x14ac:dyDescent="0.3"/>
    <row r="97" ht="30" customHeight="1" x14ac:dyDescent="0.3"/>
    <row r="98" ht="30" customHeight="1" x14ac:dyDescent="0.3"/>
    <row r="99" ht="30" customHeight="1" x14ac:dyDescent="0.3"/>
    <row r="100" ht="30" customHeight="1" x14ac:dyDescent="0.3"/>
    <row r="101" ht="30" customHeight="1" x14ac:dyDescent="0.3"/>
    <row r="102" ht="30" customHeight="1" x14ac:dyDescent="0.3"/>
    <row r="103" ht="30" customHeight="1" x14ac:dyDescent="0.3"/>
    <row r="104" ht="30" customHeight="1" x14ac:dyDescent="0.3"/>
    <row r="105" ht="30" customHeight="1" x14ac:dyDescent="0.3"/>
    <row r="106" ht="30" customHeight="1" x14ac:dyDescent="0.3"/>
    <row r="107" ht="30" customHeight="1" x14ac:dyDescent="0.3"/>
    <row r="108" ht="30" customHeight="1" x14ac:dyDescent="0.3"/>
    <row r="109" ht="30" customHeight="1" x14ac:dyDescent="0.3"/>
    <row r="110" ht="30" customHeight="1" x14ac:dyDescent="0.3"/>
    <row r="111" ht="30" customHeight="1" x14ac:dyDescent="0.3"/>
    <row r="112" ht="30" customHeight="1" x14ac:dyDescent="0.3"/>
    <row r="113" ht="30" customHeight="1" x14ac:dyDescent="0.3"/>
    <row r="114" ht="30" customHeight="1" x14ac:dyDescent="0.3"/>
    <row r="115" ht="30" customHeight="1" x14ac:dyDescent="0.3"/>
    <row r="116" ht="30" customHeight="1" x14ac:dyDescent="0.3"/>
    <row r="117" ht="30" customHeight="1" x14ac:dyDescent="0.3"/>
    <row r="118" ht="30" customHeight="1" x14ac:dyDescent="0.3"/>
    <row r="119" ht="30" customHeight="1" x14ac:dyDescent="0.3"/>
    <row r="120" ht="30" customHeight="1" x14ac:dyDescent="0.3"/>
    <row r="121" ht="30" customHeight="1" x14ac:dyDescent="0.3"/>
    <row r="122" ht="30" customHeight="1" x14ac:dyDescent="0.3"/>
    <row r="123" ht="30" customHeight="1" x14ac:dyDescent="0.3"/>
    <row r="124" ht="30" customHeight="1" x14ac:dyDescent="0.3"/>
    <row r="125" ht="30" customHeight="1" x14ac:dyDescent="0.3"/>
    <row r="126" ht="30" customHeight="1" x14ac:dyDescent="0.3"/>
    <row r="127" ht="30" customHeight="1" x14ac:dyDescent="0.3"/>
    <row r="128" ht="30" customHeight="1" x14ac:dyDescent="0.3"/>
    <row r="129" ht="30" customHeight="1" x14ac:dyDescent="0.3"/>
    <row r="130" ht="30" customHeight="1" x14ac:dyDescent="0.3"/>
    <row r="131" ht="30" customHeight="1" x14ac:dyDescent="0.3"/>
    <row r="132" ht="30" customHeight="1" x14ac:dyDescent="0.3"/>
    <row r="133" ht="30" customHeight="1" x14ac:dyDescent="0.3"/>
    <row r="134" ht="30" customHeight="1" x14ac:dyDescent="0.3"/>
    <row r="135" ht="30" customHeight="1" x14ac:dyDescent="0.3"/>
    <row r="136" ht="30" customHeight="1" x14ac:dyDescent="0.3"/>
    <row r="137" ht="30" customHeight="1" x14ac:dyDescent="0.3"/>
    <row r="138" ht="30" customHeight="1" x14ac:dyDescent="0.3"/>
    <row r="139" ht="30" customHeight="1" x14ac:dyDescent="0.3"/>
    <row r="140" ht="30" customHeight="1" x14ac:dyDescent="0.3"/>
    <row r="141" ht="30" customHeight="1" x14ac:dyDescent="0.3"/>
    <row r="142" ht="30" customHeight="1" x14ac:dyDescent="0.3"/>
    <row r="143" ht="30" customHeight="1" x14ac:dyDescent="0.3"/>
    <row r="144" ht="30" customHeight="1" x14ac:dyDescent="0.3"/>
    <row r="145" ht="30" customHeight="1" x14ac:dyDescent="0.3"/>
    <row r="146" ht="30" customHeight="1" x14ac:dyDescent="0.3"/>
    <row r="147" ht="30" customHeight="1" x14ac:dyDescent="0.3"/>
    <row r="148" ht="30" customHeight="1" x14ac:dyDescent="0.3"/>
    <row r="149" ht="30" customHeight="1" x14ac:dyDescent="0.3"/>
    <row r="150" ht="30" customHeight="1" x14ac:dyDescent="0.3"/>
    <row r="151" ht="30" customHeight="1" x14ac:dyDescent="0.3"/>
    <row r="152" ht="30" customHeight="1" x14ac:dyDescent="0.3"/>
    <row r="153" ht="30" customHeight="1" x14ac:dyDescent="0.3"/>
    <row r="154" ht="30" customHeight="1" x14ac:dyDescent="0.3"/>
    <row r="155" ht="30" customHeight="1" x14ac:dyDescent="0.3"/>
    <row r="156" ht="30" customHeight="1" x14ac:dyDescent="0.3"/>
    <row r="157" ht="30" customHeight="1" x14ac:dyDescent="0.3"/>
    <row r="158" ht="30" customHeight="1" x14ac:dyDescent="0.3"/>
    <row r="159" ht="30" customHeight="1" x14ac:dyDescent="0.3"/>
    <row r="160" ht="30" customHeight="1" x14ac:dyDescent="0.3"/>
    <row r="161" ht="30" customHeight="1" x14ac:dyDescent="0.3"/>
    <row r="162" ht="30" customHeight="1" x14ac:dyDescent="0.3"/>
    <row r="163" ht="30" customHeight="1" x14ac:dyDescent="0.3"/>
    <row r="164" ht="30" customHeight="1" x14ac:dyDescent="0.3"/>
    <row r="165" ht="30" customHeight="1" x14ac:dyDescent="0.3"/>
    <row r="166" ht="30" customHeight="1" x14ac:dyDescent="0.3"/>
    <row r="167" ht="30" customHeight="1" x14ac:dyDescent="0.3"/>
    <row r="168" ht="30" customHeight="1" x14ac:dyDescent="0.3"/>
    <row r="169" ht="30" customHeight="1" x14ac:dyDescent="0.3"/>
    <row r="170" ht="30" customHeight="1" x14ac:dyDescent="0.3"/>
    <row r="171" ht="30" customHeight="1" x14ac:dyDescent="0.3"/>
    <row r="172" ht="30" customHeight="1" x14ac:dyDescent="0.3"/>
    <row r="173" ht="30" customHeight="1" x14ac:dyDescent="0.3"/>
    <row r="174" ht="30" customHeight="1" x14ac:dyDescent="0.3"/>
    <row r="175" ht="30" customHeight="1" x14ac:dyDescent="0.3"/>
    <row r="17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row r="348" ht="30" customHeight="1" x14ac:dyDescent="0.3"/>
    <row r="349" ht="30" customHeight="1" x14ac:dyDescent="0.3"/>
    <row r="350" ht="30" customHeight="1" x14ac:dyDescent="0.3"/>
    <row r="351" ht="30" customHeight="1" x14ac:dyDescent="0.3"/>
    <row r="352" ht="30" customHeight="1" x14ac:dyDescent="0.3"/>
    <row r="353" ht="30" customHeight="1" x14ac:dyDescent="0.3"/>
    <row r="354" ht="30" customHeight="1" x14ac:dyDescent="0.3"/>
    <row r="355" ht="30" customHeight="1" x14ac:dyDescent="0.3"/>
    <row r="356" ht="30" customHeight="1" x14ac:dyDescent="0.3"/>
    <row r="357" ht="30" customHeight="1" x14ac:dyDescent="0.3"/>
    <row r="358" ht="30" customHeight="1" x14ac:dyDescent="0.3"/>
    <row r="359" ht="30" customHeight="1" x14ac:dyDescent="0.3"/>
    <row r="360" ht="30" customHeight="1" x14ac:dyDescent="0.3"/>
    <row r="361" ht="30" customHeight="1" x14ac:dyDescent="0.3"/>
    <row r="362" ht="30" customHeight="1" x14ac:dyDescent="0.3"/>
    <row r="363" ht="30" customHeight="1" x14ac:dyDescent="0.3"/>
    <row r="364" ht="30" customHeight="1" x14ac:dyDescent="0.3"/>
    <row r="365" ht="30" customHeight="1" x14ac:dyDescent="0.3"/>
    <row r="366" ht="30" customHeight="1" x14ac:dyDescent="0.3"/>
    <row r="367" ht="30" customHeight="1" x14ac:dyDescent="0.3"/>
    <row r="368" ht="30" customHeight="1" x14ac:dyDescent="0.3"/>
    <row r="369" ht="30" customHeight="1" x14ac:dyDescent="0.3"/>
    <row r="370" ht="30" customHeight="1" x14ac:dyDescent="0.3"/>
    <row r="371" ht="30" customHeight="1" x14ac:dyDescent="0.3"/>
    <row r="372" ht="30" customHeight="1" x14ac:dyDescent="0.3"/>
    <row r="373" ht="30" customHeight="1" x14ac:dyDescent="0.3"/>
    <row r="374" ht="30" customHeight="1" x14ac:dyDescent="0.3"/>
    <row r="375" ht="30" customHeight="1" x14ac:dyDescent="0.3"/>
    <row r="376" ht="30" customHeight="1" x14ac:dyDescent="0.3"/>
    <row r="377" ht="30" customHeight="1" x14ac:dyDescent="0.3"/>
    <row r="378" ht="30" customHeight="1" x14ac:dyDescent="0.3"/>
    <row r="379" ht="30" customHeight="1" x14ac:dyDescent="0.3"/>
    <row r="380" ht="30" customHeight="1" x14ac:dyDescent="0.3"/>
    <row r="381" ht="30" customHeight="1" x14ac:dyDescent="0.3"/>
    <row r="382" ht="30" customHeight="1" x14ac:dyDescent="0.3"/>
    <row r="383" ht="30" customHeight="1" x14ac:dyDescent="0.3"/>
    <row r="384" ht="30" customHeight="1" x14ac:dyDescent="0.3"/>
    <row r="385" ht="30" customHeight="1" x14ac:dyDescent="0.3"/>
    <row r="386" ht="30" customHeight="1" x14ac:dyDescent="0.3"/>
    <row r="387" ht="30" customHeight="1" x14ac:dyDescent="0.3"/>
    <row r="388" ht="30" customHeight="1" x14ac:dyDescent="0.3"/>
    <row r="389" ht="30" customHeight="1" x14ac:dyDescent="0.3"/>
    <row r="390" ht="30" customHeight="1" x14ac:dyDescent="0.3"/>
    <row r="391" ht="30" customHeight="1" x14ac:dyDescent="0.3"/>
    <row r="392" ht="30" customHeight="1" x14ac:dyDescent="0.3"/>
    <row r="393" ht="30" customHeight="1" x14ac:dyDescent="0.3"/>
    <row r="394" ht="30" customHeight="1" x14ac:dyDescent="0.3"/>
    <row r="395" ht="30" customHeight="1" x14ac:dyDescent="0.3"/>
    <row r="396" ht="30" customHeight="1" x14ac:dyDescent="0.3"/>
    <row r="397" ht="30" customHeight="1" x14ac:dyDescent="0.3"/>
    <row r="398" ht="30" customHeight="1" x14ac:dyDescent="0.3"/>
    <row r="399" ht="30" customHeight="1" x14ac:dyDescent="0.3"/>
    <row r="400" ht="30" customHeight="1" x14ac:dyDescent="0.3"/>
    <row r="401" ht="30" customHeight="1" x14ac:dyDescent="0.3"/>
    <row r="402" ht="30" customHeight="1" x14ac:dyDescent="0.3"/>
    <row r="403" ht="30" customHeight="1" x14ac:dyDescent="0.3"/>
    <row r="404" ht="30" customHeight="1" x14ac:dyDescent="0.3"/>
    <row r="405" ht="30" customHeight="1" x14ac:dyDescent="0.3"/>
    <row r="406" ht="30" customHeight="1" x14ac:dyDescent="0.3"/>
    <row r="407" ht="30" customHeight="1" x14ac:dyDescent="0.3"/>
    <row r="408" ht="30" customHeight="1" x14ac:dyDescent="0.3"/>
  </sheetData>
  <mergeCells count="221">
    <mergeCell ref="B2:U3"/>
    <mergeCell ref="B5:D5"/>
    <mergeCell ref="E5:M5"/>
    <mergeCell ref="N5:P5"/>
    <mergeCell ref="Q5:U5"/>
    <mergeCell ref="B6:D6"/>
    <mergeCell ref="E6:M6"/>
    <mergeCell ref="N6:P6"/>
    <mergeCell ref="Q6:U6"/>
    <mergeCell ref="B7:U7"/>
    <mergeCell ref="B8:U11"/>
    <mergeCell ref="C13:G13"/>
    <mergeCell ref="H13:L13"/>
    <mergeCell ref="M13:U13"/>
    <mergeCell ref="B14:U14"/>
    <mergeCell ref="C15:G15"/>
    <mergeCell ref="H15:L15"/>
    <mergeCell ref="M15:U15"/>
    <mergeCell ref="C16:G16"/>
    <mergeCell ref="H16:L16"/>
    <mergeCell ref="M16:U16"/>
    <mergeCell ref="C17:G17"/>
    <mergeCell ref="H17:L17"/>
    <mergeCell ref="M17:U17"/>
    <mergeCell ref="C18:G18"/>
    <mergeCell ref="H18:L18"/>
    <mergeCell ref="M18:U18"/>
    <mergeCell ref="C19:G19"/>
    <mergeCell ref="H19:L19"/>
    <mergeCell ref="M19:U19"/>
    <mergeCell ref="C20:G20"/>
    <mergeCell ref="H20:L20"/>
    <mergeCell ref="M20:U20"/>
    <mergeCell ref="C21:G21"/>
    <mergeCell ref="H21:L21"/>
    <mergeCell ref="M21:U21"/>
    <mergeCell ref="C22:G22"/>
    <mergeCell ref="H22:L22"/>
    <mergeCell ref="M22:U22"/>
    <mergeCell ref="B23:U23"/>
    <mergeCell ref="C24:G24"/>
    <mergeCell ref="H24:L24"/>
    <mergeCell ref="M24:U24"/>
    <mergeCell ref="C25:G25"/>
    <mergeCell ref="H25:L25"/>
    <mergeCell ref="M25:U25"/>
    <mergeCell ref="C26:G26"/>
    <mergeCell ref="H26:L26"/>
    <mergeCell ref="M26:U26"/>
    <mergeCell ref="C27:G27"/>
    <mergeCell ref="H27:L27"/>
    <mergeCell ref="M27:U27"/>
    <mergeCell ref="C28:G28"/>
    <mergeCell ref="H28:L28"/>
    <mergeCell ref="M28:U28"/>
    <mergeCell ref="B29:U29"/>
    <mergeCell ref="C30:G30"/>
    <mergeCell ref="H30:L30"/>
    <mergeCell ref="M30:U30"/>
    <mergeCell ref="C31:G31"/>
    <mergeCell ref="H31:L31"/>
    <mergeCell ref="M31:U31"/>
    <mergeCell ref="C32:G32"/>
    <mergeCell ref="H32:L32"/>
    <mergeCell ref="M32:U32"/>
    <mergeCell ref="C33:G33"/>
    <mergeCell ref="H33:L33"/>
    <mergeCell ref="M33:U33"/>
    <mergeCell ref="C34:G34"/>
    <mergeCell ref="H34:L34"/>
    <mergeCell ref="M34:U34"/>
    <mergeCell ref="B35:U35"/>
    <mergeCell ref="C36:G36"/>
    <mergeCell ref="H36:L36"/>
    <mergeCell ref="M36:U36"/>
    <mergeCell ref="C37:G37"/>
    <mergeCell ref="H37:L37"/>
    <mergeCell ref="M37:U37"/>
    <mergeCell ref="C38:G38"/>
    <mergeCell ref="H38:L38"/>
    <mergeCell ref="M38:U38"/>
    <mergeCell ref="C39:G39"/>
    <mergeCell ref="H39:L39"/>
    <mergeCell ref="M39:U39"/>
    <mergeCell ref="C40:G40"/>
    <mergeCell ref="H40:L40"/>
    <mergeCell ref="M40:U40"/>
    <mergeCell ref="C41:G41"/>
    <mergeCell ref="H41:L41"/>
    <mergeCell ref="M41:U41"/>
    <mergeCell ref="C42:G42"/>
    <mergeCell ref="H42:L42"/>
    <mergeCell ref="M42:U42"/>
    <mergeCell ref="C43:G43"/>
    <mergeCell ref="H43:L43"/>
    <mergeCell ref="M43:U43"/>
    <mergeCell ref="C44:G44"/>
    <mergeCell ref="H44:L44"/>
    <mergeCell ref="M44:U44"/>
    <mergeCell ref="B45:U45"/>
    <mergeCell ref="C46:G46"/>
    <mergeCell ref="H46:L46"/>
    <mergeCell ref="M46:U46"/>
    <mergeCell ref="C47:G47"/>
    <mergeCell ref="H47:L47"/>
    <mergeCell ref="M47:U47"/>
    <mergeCell ref="C48:G48"/>
    <mergeCell ref="H48:L48"/>
    <mergeCell ref="M48:U48"/>
    <mergeCell ref="C49:G49"/>
    <mergeCell ref="H49:L49"/>
    <mergeCell ref="M49:U49"/>
    <mergeCell ref="B50:U50"/>
    <mergeCell ref="C51:G51"/>
    <mergeCell ref="H51:L51"/>
    <mergeCell ref="M51:U51"/>
    <mergeCell ref="C52:G52"/>
    <mergeCell ref="H52:L52"/>
    <mergeCell ref="M52:U52"/>
    <mergeCell ref="C53:G53"/>
    <mergeCell ref="H53:L53"/>
    <mergeCell ref="M53:U53"/>
    <mergeCell ref="C54:G54"/>
    <mergeCell ref="H54:L54"/>
    <mergeCell ref="M54:U54"/>
    <mergeCell ref="B55:U55"/>
    <mergeCell ref="C56:G56"/>
    <mergeCell ref="H56:L56"/>
    <mergeCell ref="M56:U56"/>
    <mergeCell ref="C57:G57"/>
    <mergeCell ref="H57:L57"/>
    <mergeCell ref="M57:U57"/>
    <mergeCell ref="C58:G58"/>
    <mergeCell ref="H58:L58"/>
    <mergeCell ref="M58:U58"/>
    <mergeCell ref="C59:G59"/>
    <mergeCell ref="H59:L59"/>
    <mergeCell ref="M59:U59"/>
    <mergeCell ref="C60:G60"/>
    <mergeCell ref="H60:L60"/>
    <mergeCell ref="M60:U60"/>
    <mergeCell ref="C61:G61"/>
    <mergeCell ref="H61:L61"/>
    <mergeCell ref="M61:U61"/>
    <mergeCell ref="B62:U62"/>
    <mergeCell ref="C63:G63"/>
    <mergeCell ref="H63:L63"/>
    <mergeCell ref="M63:U63"/>
    <mergeCell ref="C64:G64"/>
    <mergeCell ref="H64:L64"/>
    <mergeCell ref="M64:U64"/>
    <mergeCell ref="C65:G65"/>
    <mergeCell ref="H65:L65"/>
    <mergeCell ref="M65:U65"/>
    <mergeCell ref="C66:G66"/>
    <mergeCell ref="H66:L66"/>
    <mergeCell ref="M66:U66"/>
    <mergeCell ref="C67:G67"/>
    <mergeCell ref="H67:L67"/>
    <mergeCell ref="M67:U67"/>
    <mergeCell ref="B68:U68"/>
    <mergeCell ref="C69:G69"/>
    <mergeCell ref="H69:L69"/>
    <mergeCell ref="M69:U69"/>
    <mergeCell ref="C70:G70"/>
    <mergeCell ref="H70:L70"/>
    <mergeCell ref="M70:U70"/>
    <mergeCell ref="C71:G71"/>
    <mergeCell ref="H71:L71"/>
    <mergeCell ref="M71:U71"/>
    <mergeCell ref="C72:G72"/>
    <mergeCell ref="H72:L72"/>
    <mergeCell ref="M72:U72"/>
    <mergeCell ref="B73:U73"/>
    <mergeCell ref="C74:G74"/>
    <mergeCell ref="H74:L74"/>
    <mergeCell ref="M74:U74"/>
    <mergeCell ref="C75:G75"/>
    <mergeCell ref="H75:L75"/>
    <mergeCell ref="M75:U75"/>
    <mergeCell ref="C76:G76"/>
    <mergeCell ref="H76:L76"/>
    <mergeCell ref="M76:U76"/>
    <mergeCell ref="C77:G77"/>
    <mergeCell ref="H77:L77"/>
    <mergeCell ref="M77:U77"/>
    <mergeCell ref="B78:U78"/>
    <mergeCell ref="C79:G79"/>
    <mergeCell ref="H79:L79"/>
    <mergeCell ref="M79:U79"/>
    <mergeCell ref="C80:G80"/>
    <mergeCell ref="H80:L80"/>
    <mergeCell ref="M80:U80"/>
    <mergeCell ref="C81:G81"/>
    <mergeCell ref="H81:L81"/>
    <mergeCell ref="M81:U81"/>
    <mergeCell ref="C82:G82"/>
    <mergeCell ref="H82:L82"/>
    <mergeCell ref="M82:U82"/>
    <mergeCell ref="B83:U83"/>
    <mergeCell ref="C84:G84"/>
    <mergeCell ref="H84:L84"/>
    <mergeCell ref="M84:U84"/>
    <mergeCell ref="C85:G85"/>
    <mergeCell ref="H85:L85"/>
    <mergeCell ref="M85:U85"/>
    <mergeCell ref="C86:G86"/>
    <mergeCell ref="H86:L86"/>
    <mergeCell ref="M86:U86"/>
    <mergeCell ref="C90:G90"/>
    <mergeCell ref="H90:L90"/>
    <mergeCell ref="M90:U90"/>
    <mergeCell ref="C87:G87"/>
    <mergeCell ref="H87:L87"/>
    <mergeCell ref="M87:U87"/>
    <mergeCell ref="C88:G88"/>
    <mergeCell ref="H88:L88"/>
    <mergeCell ref="M88:U88"/>
    <mergeCell ref="C89:G89"/>
    <mergeCell ref="H89:L89"/>
    <mergeCell ref="M89:U89"/>
  </mergeCells>
  <phoneticPr fontId="45" type="noConversion"/>
  <pageMargins left="0.7" right="0.7" top="0.75" bottom="0.75" header="0.51180555555555496" footer="0.51180555555555496"/>
  <pageSetup paperSize="9"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J347"/>
  <sheetViews>
    <sheetView zoomScale="85" zoomScaleNormal="85" workbookViewId="0">
      <selection activeCell="B4" sqref="B4"/>
    </sheetView>
  </sheetViews>
  <sheetFormatPr defaultRowHeight="16.5" x14ac:dyDescent="0.3"/>
  <cols>
    <col min="1" max="1" width="3.375" customWidth="1"/>
    <col min="2" max="1025" width="9" customWidth="1"/>
  </cols>
  <sheetData>
    <row r="2" spans="2:36" ht="30" customHeight="1" x14ac:dyDescent="0.3">
      <c r="B2" s="255" t="s">
        <v>1058</v>
      </c>
      <c r="C2" s="255"/>
      <c r="D2" s="255"/>
      <c r="E2" s="255"/>
      <c r="F2" s="255"/>
      <c r="G2" s="255"/>
      <c r="H2" s="255"/>
      <c r="I2" s="255"/>
      <c r="J2" s="255"/>
      <c r="K2" s="255"/>
      <c r="L2" s="255"/>
      <c r="M2" s="255"/>
      <c r="N2" s="255"/>
      <c r="O2" s="255"/>
      <c r="P2" s="255"/>
      <c r="Q2" s="255"/>
      <c r="R2" s="255"/>
      <c r="S2" s="255"/>
      <c r="T2" s="255"/>
      <c r="U2" s="255"/>
      <c r="V2" s="255"/>
      <c r="W2" s="255"/>
      <c r="X2" s="255"/>
      <c r="Y2" s="255"/>
      <c r="Z2" s="255"/>
      <c r="AA2" s="255"/>
      <c r="AB2" s="255"/>
      <c r="AC2" s="255"/>
      <c r="AD2" s="255"/>
      <c r="AE2" s="255"/>
      <c r="AF2" s="255"/>
      <c r="AG2" s="255"/>
      <c r="AH2" s="255"/>
      <c r="AI2" s="255"/>
      <c r="AJ2" s="255"/>
    </row>
    <row r="3" spans="2:36" ht="30" customHeight="1" x14ac:dyDescent="0.3">
      <c r="B3" s="255"/>
      <c r="C3" s="255"/>
      <c r="D3" s="255"/>
      <c r="E3" s="255"/>
      <c r="F3" s="255"/>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row>
    <row r="5" spans="2:36" ht="30" customHeight="1" x14ac:dyDescent="0.3">
      <c r="B5" s="236" t="s">
        <v>0</v>
      </c>
      <c r="C5" s="236"/>
      <c r="D5" s="236"/>
      <c r="E5" s="237" t="str">
        <f>'00_팀프로젝트_큰틀'!E2</f>
        <v>[디지털컨버전스] ICT융합 풀스택(자바/스프링) 개발자 양성과정A</v>
      </c>
      <c r="F5" s="237"/>
      <c r="G5" s="237"/>
      <c r="H5" s="237"/>
      <c r="I5" s="237"/>
      <c r="J5" s="237"/>
      <c r="K5" s="237"/>
      <c r="L5" s="237"/>
      <c r="M5" s="238" t="s">
        <v>2</v>
      </c>
      <c r="N5" s="238"/>
      <c r="O5" s="238"/>
      <c r="P5" s="374" t="str">
        <f>'00_팀프로젝트_큰틀'!P2</f>
        <v>홍길순</v>
      </c>
      <c r="Q5" s="374"/>
      <c r="R5" s="374"/>
      <c r="S5" s="374"/>
      <c r="T5" s="374"/>
      <c r="U5" s="374"/>
    </row>
    <row r="6" spans="2:36" ht="30" customHeight="1" x14ac:dyDescent="0.3">
      <c r="B6" s="240" t="s">
        <v>4</v>
      </c>
      <c r="C6" s="240"/>
      <c r="D6" s="240"/>
      <c r="E6" s="241" t="str">
        <f>'00_팀프로젝트_큰틀'!E3</f>
        <v>2024-02-19~2024-08-01</v>
      </c>
      <c r="F6" s="241"/>
      <c r="G6" s="241"/>
      <c r="H6" s="241"/>
      <c r="I6" s="241"/>
      <c r="J6" s="241"/>
      <c r="K6" s="241"/>
      <c r="L6" s="241"/>
      <c r="M6" s="242" t="s">
        <v>6</v>
      </c>
      <c r="N6" s="242"/>
      <c r="O6" s="242"/>
      <c r="P6" s="375">
        <v>44806</v>
      </c>
      <c r="Q6" s="375"/>
      <c r="R6" s="375"/>
      <c r="S6" s="375"/>
      <c r="T6" s="375"/>
      <c r="U6" s="375"/>
    </row>
    <row r="7" spans="2:36" ht="30" customHeight="1" x14ac:dyDescent="0.3">
      <c r="B7" s="361" t="s">
        <v>61</v>
      </c>
      <c r="C7" s="361"/>
      <c r="D7" s="361"/>
      <c r="E7" s="361"/>
      <c r="F7" s="361"/>
      <c r="G7" s="361"/>
      <c r="H7" s="361"/>
      <c r="I7" s="361"/>
      <c r="J7" s="361"/>
      <c r="K7" s="361"/>
      <c r="L7" s="361"/>
      <c r="M7" s="361"/>
      <c r="N7" s="361"/>
      <c r="O7" s="361"/>
      <c r="P7" s="361"/>
      <c r="Q7" s="361"/>
      <c r="R7" s="361"/>
      <c r="S7" s="361"/>
      <c r="T7" s="361"/>
      <c r="U7" s="361"/>
    </row>
    <row r="8" spans="2:36" ht="30" customHeight="1" x14ac:dyDescent="0.3">
      <c r="B8" s="390" t="s">
        <v>1059</v>
      </c>
      <c r="C8" s="390"/>
      <c r="D8" s="390"/>
      <c r="E8" s="390"/>
      <c r="F8" s="390"/>
      <c r="G8" s="390"/>
      <c r="H8" s="390"/>
      <c r="I8" s="390"/>
      <c r="J8" s="390"/>
      <c r="K8" s="390"/>
      <c r="L8" s="390"/>
      <c r="M8" s="390"/>
      <c r="N8" s="390"/>
      <c r="O8" s="390"/>
      <c r="P8" s="390"/>
      <c r="Q8" s="390"/>
      <c r="R8" s="390"/>
      <c r="S8" s="390"/>
      <c r="T8" s="390"/>
      <c r="U8" s="390"/>
    </row>
    <row r="9" spans="2:36" ht="30" customHeight="1" x14ac:dyDescent="0.3">
      <c r="B9" s="390"/>
      <c r="C9" s="390"/>
      <c r="D9" s="390"/>
      <c r="E9" s="390"/>
      <c r="F9" s="390"/>
      <c r="G9" s="390"/>
      <c r="H9" s="390"/>
      <c r="I9" s="390"/>
      <c r="J9" s="390"/>
      <c r="K9" s="390"/>
      <c r="L9" s="390"/>
      <c r="M9" s="390"/>
      <c r="N9" s="390"/>
      <c r="O9" s="390"/>
      <c r="P9" s="390"/>
      <c r="Q9" s="390"/>
      <c r="R9" s="390"/>
      <c r="S9" s="390"/>
      <c r="T9" s="390"/>
      <c r="U9" s="390"/>
    </row>
    <row r="10" spans="2:36" ht="30" customHeight="1" x14ac:dyDescent="0.3">
      <c r="B10" s="390"/>
      <c r="C10" s="390"/>
      <c r="D10" s="390"/>
      <c r="E10" s="390"/>
      <c r="F10" s="390"/>
      <c r="G10" s="390"/>
      <c r="H10" s="390"/>
      <c r="I10" s="390"/>
      <c r="J10" s="390"/>
      <c r="K10" s="390"/>
      <c r="L10" s="390"/>
      <c r="M10" s="390"/>
      <c r="N10" s="390"/>
      <c r="O10" s="390"/>
      <c r="P10" s="390"/>
      <c r="Q10" s="390"/>
      <c r="R10" s="390"/>
      <c r="S10" s="390"/>
      <c r="T10" s="390"/>
      <c r="U10" s="390"/>
    </row>
    <row r="11" spans="2:36" ht="30" customHeight="1" x14ac:dyDescent="0.3">
      <c r="B11" s="390"/>
      <c r="C11" s="390"/>
      <c r="D11" s="390"/>
      <c r="E11" s="390"/>
      <c r="F11" s="390"/>
      <c r="G11" s="390"/>
      <c r="H11" s="390"/>
      <c r="I11" s="390"/>
      <c r="J11" s="390"/>
      <c r="K11" s="390"/>
      <c r="L11" s="390"/>
      <c r="M11" s="390"/>
      <c r="N11" s="390"/>
      <c r="O11" s="390"/>
      <c r="P11" s="390"/>
      <c r="Q11" s="390"/>
      <c r="R11" s="390"/>
      <c r="S11" s="390"/>
      <c r="T11" s="390"/>
      <c r="U11" s="390"/>
    </row>
    <row r="13" spans="2:36" ht="30" customHeight="1" x14ac:dyDescent="0.3">
      <c r="B13" s="62" t="s">
        <v>15</v>
      </c>
      <c r="C13" s="452" t="s">
        <v>1060</v>
      </c>
      <c r="D13" s="452"/>
      <c r="E13" s="452"/>
      <c r="F13" s="452"/>
      <c r="G13" s="452"/>
      <c r="H13" s="452"/>
      <c r="I13" s="452"/>
      <c r="J13" s="452" t="s">
        <v>1061</v>
      </c>
      <c r="K13" s="452"/>
      <c r="L13" s="452"/>
      <c r="M13" s="452"/>
      <c r="N13" s="452"/>
      <c r="O13" s="452" t="s">
        <v>1062</v>
      </c>
      <c r="P13" s="452"/>
      <c r="Q13" s="452"/>
      <c r="R13" s="452"/>
      <c r="S13" s="452"/>
      <c r="T13" s="453" t="s">
        <v>565</v>
      </c>
      <c r="U13" s="453"/>
      <c r="V13" s="453"/>
      <c r="W13" s="453"/>
      <c r="X13" s="453"/>
      <c r="Y13" s="453"/>
      <c r="Z13" s="453"/>
      <c r="AA13" s="453"/>
      <c r="AB13" s="453"/>
      <c r="AC13" s="453"/>
      <c r="AD13" s="453"/>
      <c r="AE13" s="453"/>
      <c r="AF13" s="453"/>
      <c r="AG13" s="453"/>
      <c r="AH13" s="453"/>
      <c r="AI13" s="453"/>
      <c r="AJ13" s="453"/>
    </row>
    <row r="14" spans="2:36" ht="30" customHeight="1" x14ac:dyDescent="0.3">
      <c r="B14" s="451" t="s">
        <v>730</v>
      </c>
      <c r="C14" s="451"/>
      <c r="D14" s="451"/>
      <c r="E14" s="451"/>
      <c r="F14" s="451"/>
      <c r="G14" s="451"/>
      <c r="H14" s="451"/>
      <c r="I14" s="451"/>
      <c r="J14" s="451"/>
      <c r="K14" s="451"/>
      <c r="L14" s="451"/>
      <c r="M14" s="451"/>
      <c r="N14" s="451"/>
      <c r="O14" s="451"/>
      <c r="P14" s="451"/>
      <c r="Q14" s="451"/>
      <c r="R14" s="451"/>
      <c r="S14" s="451"/>
      <c r="T14" s="451"/>
      <c r="U14" s="451"/>
      <c r="V14" s="451"/>
      <c r="W14" s="451"/>
      <c r="X14" s="451"/>
      <c r="Y14" s="451"/>
      <c r="Z14" s="451"/>
      <c r="AA14" s="451"/>
      <c r="AB14" s="451"/>
      <c r="AC14" s="451"/>
      <c r="AD14" s="451"/>
      <c r="AE14" s="451"/>
      <c r="AF14" s="451"/>
      <c r="AG14" s="451"/>
      <c r="AH14" s="451"/>
      <c r="AI14" s="451"/>
      <c r="AJ14" s="451"/>
    </row>
    <row r="15" spans="2:36" ht="30" customHeight="1" x14ac:dyDescent="0.3">
      <c r="B15" s="63">
        <v>1</v>
      </c>
      <c r="C15" s="449" t="s">
        <v>1063</v>
      </c>
      <c r="D15" s="449"/>
      <c r="E15" s="449"/>
      <c r="F15" s="449"/>
      <c r="G15" s="449"/>
      <c r="H15" s="449"/>
      <c r="I15" s="449"/>
      <c r="J15" s="449" t="s">
        <v>1064</v>
      </c>
      <c r="K15" s="449"/>
      <c r="L15" s="449"/>
      <c r="M15" s="449"/>
      <c r="N15" s="449"/>
      <c r="O15" s="449" t="s">
        <v>1065</v>
      </c>
      <c r="P15" s="449"/>
      <c r="Q15" s="449"/>
      <c r="R15" s="449"/>
      <c r="S15" s="449"/>
      <c r="T15" s="450" t="s">
        <v>1066</v>
      </c>
      <c r="U15" s="450"/>
      <c r="V15" s="450"/>
      <c r="W15" s="450"/>
      <c r="X15" s="450"/>
      <c r="Y15" s="450"/>
      <c r="Z15" s="450"/>
      <c r="AA15" s="450"/>
      <c r="AB15" s="450"/>
      <c r="AC15" s="450"/>
      <c r="AD15" s="450"/>
      <c r="AE15" s="450"/>
      <c r="AF15" s="450"/>
      <c r="AG15" s="450"/>
      <c r="AH15" s="450"/>
      <c r="AI15" s="450"/>
      <c r="AJ15" s="450"/>
    </row>
    <row r="16" spans="2:36" ht="30" customHeight="1" x14ac:dyDescent="0.3">
      <c r="B16" s="63">
        <v>2</v>
      </c>
      <c r="C16" s="449" t="s">
        <v>1063</v>
      </c>
      <c r="D16" s="449"/>
      <c r="E16" s="449"/>
      <c r="F16" s="449"/>
      <c r="G16" s="449"/>
      <c r="H16" s="449"/>
      <c r="I16" s="449"/>
      <c r="J16" s="449" t="s">
        <v>1067</v>
      </c>
      <c r="K16" s="449"/>
      <c r="L16" s="449"/>
      <c r="M16" s="449"/>
      <c r="N16" s="449"/>
      <c r="O16" s="449" t="s">
        <v>1068</v>
      </c>
      <c r="P16" s="449"/>
      <c r="Q16" s="449"/>
      <c r="R16" s="449"/>
      <c r="S16" s="449"/>
      <c r="T16" s="450" t="s">
        <v>1069</v>
      </c>
      <c r="U16" s="450"/>
      <c r="V16" s="450"/>
      <c r="W16" s="450"/>
      <c r="X16" s="450"/>
      <c r="Y16" s="450"/>
      <c r="Z16" s="450"/>
      <c r="AA16" s="450"/>
      <c r="AB16" s="450"/>
      <c r="AC16" s="450"/>
      <c r="AD16" s="450"/>
      <c r="AE16" s="450"/>
      <c r="AF16" s="450"/>
      <c r="AG16" s="450"/>
      <c r="AH16" s="450"/>
      <c r="AI16" s="450"/>
      <c r="AJ16" s="450"/>
    </row>
    <row r="17" spans="2:36" ht="30" customHeight="1" x14ac:dyDescent="0.3">
      <c r="B17" s="63">
        <v>3</v>
      </c>
      <c r="C17" s="449" t="s">
        <v>1070</v>
      </c>
      <c r="D17" s="449"/>
      <c r="E17" s="449"/>
      <c r="F17" s="449"/>
      <c r="G17" s="449"/>
      <c r="H17" s="449"/>
      <c r="I17" s="449"/>
      <c r="J17" s="449" t="s">
        <v>1071</v>
      </c>
      <c r="K17" s="449"/>
      <c r="L17" s="449"/>
      <c r="M17" s="449"/>
      <c r="N17" s="449"/>
      <c r="O17" s="449" t="s">
        <v>1072</v>
      </c>
      <c r="P17" s="449"/>
      <c r="Q17" s="449"/>
      <c r="R17" s="449"/>
      <c r="S17" s="449"/>
      <c r="T17" s="450" t="s">
        <v>1073</v>
      </c>
      <c r="U17" s="450"/>
      <c r="V17" s="450"/>
      <c r="W17" s="450"/>
      <c r="X17" s="450"/>
      <c r="Y17" s="450"/>
      <c r="Z17" s="450"/>
      <c r="AA17" s="450"/>
      <c r="AB17" s="450"/>
      <c r="AC17" s="450"/>
      <c r="AD17" s="450"/>
      <c r="AE17" s="450"/>
      <c r="AF17" s="450"/>
      <c r="AG17" s="450"/>
      <c r="AH17" s="450"/>
      <c r="AI17" s="450"/>
      <c r="AJ17" s="450"/>
    </row>
    <row r="18" spans="2:36" ht="30" customHeight="1" x14ac:dyDescent="0.3">
      <c r="B18" s="63">
        <v>4</v>
      </c>
      <c r="C18" s="449" t="s">
        <v>1070</v>
      </c>
      <c r="D18" s="449"/>
      <c r="E18" s="449"/>
      <c r="F18" s="449"/>
      <c r="G18" s="449"/>
      <c r="H18" s="449"/>
      <c r="I18" s="449"/>
      <c r="J18" s="449" t="s">
        <v>1071</v>
      </c>
      <c r="K18" s="449"/>
      <c r="L18" s="449"/>
      <c r="M18" s="449"/>
      <c r="N18" s="449"/>
      <c r="O18" s="449" t="s">
        <v>1074</v>
      </c>
      <c r="P18" s="449"/>
      <c r="Q18" s="449"/>
      <c r="R18" s="449"/>
      <c r="S18" s="449"/>
      <c r="T18" s="450" t="s">
        <v>1075</v>
      </c>
      <c r="U18" s="450"/>
      <c r="V18" s="450"/>
      <c r="W18" s="450"/>
      <c r="X18" s="450"/>
      <c r="Y18" s="450"/>
      <c r="Z18" s="450"/>
      <c r="AA18" s="450"/>
      <c r="AB18" s="450"/>
      <c r="AC18" s="450"/>
      <c r="AD18" s="450"/>
      <c r="AE18" s="450"/>
      <c r="AF18" s="450"/>
      <c r="AG18" s="450"/>
      <c r="AH18" s="450"/>
      <c r="AI18" s="450"/>
      <c r="AJ18" s="450"/>
    </row>
    <row r="19" spans="2:36" ht="30" customHeight="1" x14ac:dyDescent="0.3">
      <c r="B19" s="63">
        <v>5</v>
      </c>
      <c r="C19" s="449" t="s">
        <v>1070</v>
      </c>
      <c r="D19" s="449"/>
      <c r="E19" s="449"/>
      <c r="F19" s="449"/>
      <c r="G19" s="449"/>
      <c r="H19" s="449"/>
      <c r="I19" s="449"/>
      <c r="J19" s="449" t="s">
        <v>1076</v>
      </c>
      <c r="K19" s="449"/>
      <c r="L19" s="449"/>
      <c r="M19" s="449"/>
      <c r="N19" s="449"/>
      <c r="O19" s="449" t="s">
        <v>1077</v>
      </c>
      <c r="P19" s="449"/>
      <c r="Q19" s="449"/>
      <c r="R19" s="449"/>
      <c r="S19" s="449"/>
      <c r="T19" s="450" t="s">
        <v>1078</v>
      </c>
      <c r="U19" s="450"/>
      <c r="V19" s="450"/>
      <c r="W19" s="450"/>
      <c r="X19" s="450"/>
      <c r="Y19" s="450"/>
      <c r="Z19" s="450"/>
      <c r="AA19" s="450"/>
      <c r="AB19" s="450"/>
      <c r="AC19" s="450"/>
      <c r="AD19" s="450"/>
      <c r="AE19" s="450"/>
      <c r="AF19" s="450"/>
      <c r="AG19" s="450"/>
      <c r="AH19" s="450"/>
      <c r="AI19" s="450"/>
      <c r="AJ19" s="450"/>
    </row>
    <row r="20" spans="2:36" ht="30" customHeight="1" x14ac:dyDescent="0.3">
      <c r="B20" s="63">
        <v>6</v>
      </c>
      <c r="C20" s="449" t="s">
        <v>1079</v>
      </c>
      <c r="D20" s="449"/>
      <c r="E20" s="449"/>
      <c r="F20" s="449"/>
      <c r="G20" s="449"/>
      <c r="H20" s="449"/>
      <c r="I20" s="449"/>
      <c r="J20" s="449" t="s">
        <v>1080</v>
      </c>
      <c r="K20" s="449"/>
      <c r="L20" s="449"/>
      <c r="M20" s="449"/>
      <c r="N20" s="449"/>
      <c r="O20" s="449" t="s">
        <v>1081</v>
      </c>
      <c r="P20" s="449"/>
      <c r="Q20" s="449"/>
      <c r="R20" s="449"/>
      <c r="S20" s="449"/>
      <c r="T20" s="450" t="s">
        <v>1082</v>
      </c>
      <c r="U20" s="450"/>
      <c r="V20" s="450"/>
      <c r="W20" s="450"/>
      <c r="X20" s="450"/>
      <c r="Y20" s="450"/>
      <c r="Z20" s="450"/>
      <c r="AA20" s="450"/>
      <c r="AB20" s="450"/>
      <c r="AC20" s="450"/>
      <c r="AD20" s="450"/>
      <c r="AE20" s="450"/>
      <c r="AF20" s="450"/>
      <c r="AG20" s="450"/>
      <c r="AH20" s="450"/>
      <c r="AI20" s="450"/>
      <c r="AJ20" s="450"/>
    </row>
    <row r="21" spans="2:36" ht="30" customHeight="1" x14ac:dyDescent="0.3">
      <c r="B21" s="63">
        <v>7</v>
      </c>
      <c r="C21" s="449" t="s">
        <v>1079</v>
      </c>
      <c r="D21" s="449"/>
      <c r="E21" s="449"/>
      <c r="F21" s="449"/>
      <c r="G21" s="449"/>
      <c r="H21" s="449"/>
      <c r="I21" s="449"/>
      <c r="J21" s="449" t="s">
        <v>1080</v>
      </c>
      <c r="K21" s="449"/>
      <c r="L21" s="449"/>
      <c r="M21" s="449"/>
      <c r="N21" s="449"/>
      <c r="O21" s="449" t="s">
        <v>1083</v>
      </c>
      <c r="P21" s="449"/>
      <c r="Q21" s="449"/>
      <c r="R21" s="449"/>
      <c r="S21" s="449"/>
      <c r="T21" s="450" t="s">
        <v>1084</v>
      </c>
      <c r="U21" s="450"/>
      <c r="V21" s="450"/>
      <c r="W21" s="450"/>
      <c r="X21" s="450"/>
      <c r="Y21" s="450"/>
      <c r="Z21" s="450"/>
      <c r="AA21" s="450"/>
      <c r="AB21" s="450"/>
      <c r="AC21" s="450"/>
      <c r="AD21" s="450"/>
      <c r="AE21" s="450"/>
      <c r="AF21" s="450"/>
      <c r="AG21" s="450"/>
      <c r="AH21" s="450"/>
      <c r="AI21" s="450"/>
      <c r="AJ21" s="450"/>
    </row>
    <row r="22" spans="2:36" ht="30" customHeight="1" x14ac:dyDescent="0.3">
      <c r="B22" s="63">
        <v>8</v>
      </c>
      <c r="C22" s="449" t="s">
        <v>1079</v>
      </c>
      <c r="D22" s="449"/>
      <c r="E22" s="449"/>
      <c r="F22" s="449"/>
      <c r="G22" s="449"/>
      <c r="H22" s="449"/>
      <c r="I22" s="449"/>
      <c r="J22" s="449" t="s">
        <v>1085</v>
      </c>
      <c r="K22" s="449"/>
      <c r="L22" s="449"/>
      <c r="M22" s="449"/>
      <c r="N22" s="449"/>
      <c r="O22" s="449" t="s">
        <v>1086</v>
      </c>
      <c r="P22" s="449"/>
      <c r="Q22" s="449"/>
      <c r="R22" s="449"/>
      <c r="S22" s="449"/>
      <c r="T22" s="450" t="s">
        <v>1087</v>
      </c>
      <c r="U22" s="450"/>
      <c r="V22" s="450"/>
      <c r="W22" s="450"/>
      <c r="X22" s="450"/>
      <c r="Y22" s="450"/>
      <c r="Z22" s="450"/>
      <c r="AA22" s="450"/>
      <c r="AB22" s="450"/>
      <c r="AC22" s="450"/>
      <c r="AD22" s="450"/>
      <c r="AE22" s="450"/>
      <c r="AF22" s="450"/>
      <c r="AG22" s="450"/>
      <c r="AH22" s="450"/>
      <c r="AI22" s="450"/>
      <c r="AJ22" s="450"/>
    </row>
    <row r="23" spans="2:36" ht="30" customHeight="1" x14ac:dyDescent="0.3">
      <c r="B23" s="451" t="s">
        <v>968</v>
      </c>
      <c r="C23" s="451"/>
      <c r="D23" s="451"/>
      <c r="E23" s="451"/>
      <c r="F23" s="451"/>
      <c r="G23" s="451"/>
      <c r="H23" s="451"/>
      <c r="I23" s="451"/>
      <c r="J23" s="451"/>
      <c r="K23" s="451"/>
      <c r="L23" s="451"/>
      <c r="M23" s="451"/>
      <c r="N23" s="451"/>
      <c r="O23" s="451"/>
      <c r="P23" s="451"/>
      <c r="Q23" s="451"/>
      <c r="R23" s="451"/>
      <c r="S23" s="451"/>
      <c r="T23" s="451"/>
      <c r="U23" s="451"/>
      <c r="V23" s="451"/>
      <c r="W23" s="451"/>
      <c r="X23" s="451"/>
      <c r="Y23" s="451"/>
      <c r="Z23" s="451"/>
      <c r="AA23" s="451"/>
      <c r="AB23" s="451"/>
      <c r="AC23" s="451"/>
      <c r="AD23" s="451"/>
      <c r="AE23" s="451"/>
      <c r="AF23" s="451"/>
      <c r="AG23" s="451"/>
      <c r="AH23" s="451"/>
      <c r="AI23" s="451"/>
      <c r="AJ23" s="451"/>
    </row>
    <row r="24" spans="2:36" ht="30" customHeight="1" x14ac:dyDescent="0.3">
      <c r="B24" s="63">
        <v>9</v>
      </c>
      <c r="C24" s="449" t="s">
        <v>1088</v>
      </c>
      <c r="D24" s="449"/>
      <c r="E24" s="449"/>
      <c r="F24" s="449"/>
      <c r="G24" s="449"/>
      <c r="H24" s="449"/>
      <c r="I24" s="449"/>
      <c r="J24" s="449" t="s">
        <v>1089</v>
      </c>
      <c r="K24" s="449"/>
      <c r="L24" s="449"/>
      <c r="M24" s="449"/>
      <c r="N24" s="449"/>
      <c r="O24" s="449" t="s">
        <v>1090</v>
      </c>
      <c r="P24" s="449"/>
      <c r="Q24" s="449"/>
      <c r="R24" s="449"/>
      <c r="S24" s="449"/>
      <c r="T24" s="450" t="s">
        <v>1091</v>
      </c>
      <c r="U24" s="450"/>
      <c r="V24" s="450"/>
      <c r="W24" s="450"/>
      <c r="X24" s="450"/>
      <c r="Y24" s="450"/>
      <c r="Z24" s="450"/>
      <c r="AA24" s="450"/>
      <c r="AB24" s="450"/>
      <c r="AC24" s="450"/>
      <c r="AD24" s="450"/>
      <c r="AE24" s="450"/>
      <c r="AF24" s="450"/>
      <c r="AG24" s="450"/>
      <c r="AH24" s="450"/>
      <c r="AI24" s="450"/>
      <c r="AJ24" s="450"/>
    </row>
    <row r="25" spans="2:36" ht="30" customHeight="1" x14ac:dyDescent="0.3">
      <c r="B25" s="63">
        <v>10</v>
      </c>
      <c r="C25" s="449"/>
      <c r="D25" s="449"/>
      <c r="E25" s="449"/>
      <c r="F25" s="449"/>
      <c r="G25" s="449"/>
      <c r="H25" s="449"/>
      <c r="I25" s="449"/>
      <c r="J25" s="449"/>
      <c r="K25" s="449"/>
      <c r="L25" s="449"/>
      <c r="M25" s="449"/>
      <c r="N25" s="449"/>
      <c r="O25" s="449"/>
      <c r="P25" s="449"/>
      <c r="Q25" s="449"/>
      <c r="R25" s="449"/>
      <c r="S25" s="449"/>
      <c r="T25" s="450"/>
      <c r="U25" s="450"/>
      <c r="V25" s="450"/>
      <c r="W25" s="450"/>
      <c r="X25" s="450"/>
      <c r="Y25" s="450"/>
      <c r="Z25" s="450"/>
      <c r="AA25" s="450"/>
      <c r="AB25" s="450"/>
      <c r="AC25" s="450"/>
      <c r="AD25" s="450"/>
      <c r="AE25" s="450"/>
      <c r="AF25" s="450"/>
      <c r="AG25" s="450"/>
      <c r="AH25" s="450"/>
      <c r="AI25" s="450"/>
      <c r="AJ25" s="450"/>
    </row>
    <row r="26" spans="2:36" ht="30" customHeight="1" x14ac:dyDescent="0.3">
      <c r="B26" s="63">
        <v>11</v>
      </c>
      <c r="C26" s="449"/>
      <c r="D26" s="449"/>
      <c r="E26" s="449"/>
      <c r="F26" s="449"/>
      <c r="G26" s="449"/>
      <c r="H26" s="449"/>
      <c r="I26" s="449"/>
      <c r="J26" s="449"/>
      <c r="K26" s="449"/>
      <c r="L26" s="449"/>
      <c r="M26" s="449"/>
      <c r="N26" s="449"/>
      <c r="O26" s="449"/>
      <c r="P26" s="449"/>
      <c r="Q26" s="449"/>
      <c r="R26" s="449"/>
      <c r="S26" s="449"/>
      <c r="T26" s="450"/>
      <c r="U26" s="450"/>
      <c r="V26" s="450"/>
      <c r="W26" s="450"/>
      <c r="X26" s="450"/>
      <c r="Y26" s="450"/>
      <c r="Z26" s="450"/>
      <c r="AA26" s="450"/>
      <c r="AB26" s="450"/>
      <c r="AC26" s="450"/>
      <c r="AD26" s="450"/>
      <c r="AE26" s="450"/>
      <c r="AF26" s="450"/>
      <c r="AG26" s="450"/>
      <c r="AH26" s="450"/>
      <c r="AI26" s="450"/>
      <c r="AJ26" s="450"/>
    </row>
    <row r="27" spans="2:36" ht="30" customHeight="1" x14ac:dyDescent="0.3">
      <c r="B27" s="63">
        <v>12</v>
      </c>
      <c r="C27" s="449"/>
      <c r="D27" s="449"/>
      <c r="E27" s="449"/>
      <c r="F27" s="449"/>
      <c r="G27" s="449"/>
      <c r="H27" s="449"/>
      <c r="I27" s="449"/>
      <c r="J27" s="449"/>
      <c r="K27" s="449"/>
      <c r="L27" s="449"/>
      <c r="M27" s="449"/>
      <c r="N27" s="449"/>
      <c r="O27" s="449"/>
      <c r="P27" s="449"/>
      <c r="Q27" s="449"/>
      <c r="R27" s="449"/>
      <c r="S27" s="449"/>
      <c r="T27" s="450"/>
      <c r="U27" s="450"/>
      <c r="V27" s="450"/>
      <c r="W27" s="450"/>
      <c r="X27" s="450"/>
      <c r="Y27" s="450"/>
      <c r="Z27" s="450"/>
      <c r="AA27" s="450"/>
      <c r="AB27" s="450"/>
      <c r="AC27" s="450"/>
      <c r="AD27" s="450"/>
      <c r="AE27" s="450"/>
      <c r="AF27" s="450"/>
      <c r="AG27" s="450"/>
      <c r="AH27" s="450"/>
      <c r="AI27" s="450"/>
      <c r="AJ27" s="450"/>
    </row>
    <row r="28" spans="2:36" ht="30" customHeight="1" x14ac:dyDescent="0.3">
      <c r="B28" s="63">
        <v>13</v>
      </c>
      <c r="C28" s="449"/>
      <c r="D28" s="449"/>
      <c r="E28" s="449"/>
      <c r="F28" s="449"/>
      <c r="G28" s="449"/>
      <c r="H28" s="449"/>
      <c r="I28" s="449"/>
      <c r="J28" s="449"/>
      <c r="K28" s="449"/>
      <c r="L28" s="449"/>
      <c r="M28" s="449"/>
      <c r="N28" s="449"/>
      <c r="O28" s="449"/>
      <c r="P28" s="449"/>
      <c r="Q28" s="449"/>
      <c r="R28" s="449"/>
      <c r="S28" s="449"/>
      <c r="T28" s="450"/>
      <c r="U28" s="450"/>
      <c r="V28" s="450"/>
      <c r="W28" s="450"/>
      <c r="X28" s="450"/>
      <c r="Y28" s="450"/>
      <c r="Z28" s="450"/>
      <c r="AA28" s="450"/>
      <c r="AB28" s="450"/>
      <c r="AC28" s="450"/>
      <c r="AD28" s="450"/>
      <c r="AE28" s="450"/>
      <c r="AF28" s="450"/>
      <c r="AG28" s="450"/>
      <c r="AH28" s="450"/>
      <c r="AI28" s="450"/>
      <c r="AJ28" s="450"/>
    </row>
    <row r="29" spans="2:36" ht="30" customHeight="1" x14ac:dyDescent="0.3">
      <c r="B29" s="63">
        <v>14</v>
      </c>
      <c r="C29" s="449"/>
      <c r="D29" s="449"/>
      <c r="E29" s="449"/>
      <c r="F29" s="449"/>
      <c r="G29" s="449"/>
      <c r="H29" s="449"/>
      <c r="I29" s="449"/>
      <c r="J29" s="449"/>
      <c r="K29" s="449"/>
      <c r="L29" s="449"/>
      <c r="M29" s="449"/>
      <c r="N29" s="449"/>
      <c r="O29" s="449"/>
      <c r="P29" s="449"/>
      <c r="Q29" s="449"/>
      <c r="R29" s="449"/>
      <c r="S29" s="449"/>
      <c r="T29" s="450"/>
      <c r="U29" s="450"/>
      <c r="V29" s="450"/>
      <c r="W29" s="450"/>
      <c r="X29" s="450"/>
      <c r="Y29" s="450"/>
      <c r="Z29" s="450"/>
      <c r="AA29" s="450"/>
      <c r="AB29" s="450"/>
      <c r="AC29" s="450"/>
      <c r="AD29" s="450"/>
      <c r="AE29" s="450"/>
      <c r="AF29" s="450"/>
      <c r="AG29" s="450"/>
      <c r="AH29" s="450"/>
      <c r="AI29" s="450"/>
      <c r="AJ29" s="450"/>
    </row>
    <row r="30" spans="2:36" ht="30" customHeight="1" x14ac:dyDescent="0.3">
      <c r="B30" s="64">
        <v>15</v>
      </c>
      <c r="C30" s="449"/>
      <c r="D30" s="449"/>
      <c r="E30" s="449"/>
      <c r="F30" s="449"/>
      <c r="G30" s="449"/>
      <c r="H30" s="449"/>
      <c r="I30" s="449"/>
      <c r="J30" s="447"/>
      <c r="K30" s="447"/>
      <c r="L30" s="447"/>
      <c r="M30" s="447"/>
      <c r="N30" s="447"/>
      <c r="O30" s="447"/>
      <c r="P30" s="447"/>
      <c r="Q30" s="447"/>
      <c r="R30" s="447"/>
      <c r="S30" s="447"/>
      <c r="T30" s="448"/>
      <c r="U30" s="448"/>
      <c r="V30" s="448"/>
      <c r="W30" s="448"/>
      <c r="X30" s="448"/>
      <c r="Y30" s="448"/>
      <c r="Z30" s="448"/>
      <c r="AA30" s="448"/>
      <c r="AB30" s="448"/>
      <c r="AC30" s="448"/>
      <c r="AD30" s="448"/>
      <c r="AE30" s="448"/>
      <c r="AF30" s="448"/>
      <c r="AG30" s="448"/>
      <c r="AH30" s="448"/>
      <c r="AI30" s="448"/>
      <c r="AJ30" s="448"/>
    </row>
    <row r="31" spans="2:36" ht="30" customHeight="1" x14ac:dyDescent="0.3"/>
    <row r="32" spans="2:36" ht="30" customHeight="1" x14ac:dyDescent="0.3"/>
    <row r="33" ht="30" customHeight="1" x14ac:dyDescent="0.3"/>
    <row r="34" ht="30" customHeight="1" x14ac:dyDescent="0.3"/>
    <row r="35" ht="30" customHeight="1" x14ac:dyDescent="0.3"/>
    <row r="36" ht="30" customHeight="1" x14ac:dyDescent="0.3"/>
    <row r="37" ht="30" customHeight="1" x14ac:dyDescent="0.3"/>
    <row r="38" ht="30" customHeight="1" x14ac:dyDescent="0.3"/>
    <row r="39" ht="30" customHeight="1" x14ac:dyDescent="0.3"/>
    <row r="40" ht="30" customHeight="1" x14ac:dyDescent="0.3"/>
    <row r="41" ht="30" customHeight="1" x14ac:dyDescent="0.3"/>
    <row r="42" ht="30" customHeight="1" x14ac:dyDescent="0.3"/>
    <row r="43" ht="30" customHeight="1" x14ac:dyDescent="0.3"/>
    <row r="44" ht="30" customHeight="1" x14ac:dyDescent="0.3"/>
    <row r="45" ht="30" customHeight="1" x14ac:dyDescent="0.3"/>
    <row r="46" ht="30" customHeight="1" x14ac:dyDescent="0.3"/>
    <row r="47" ht="30" customHeight="1" x14ac:dyDescent="0.3"/>
    <row r="48" ht="30" customHeight="1" x14ac:dyDescent="0.3"/>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30" customHeight="1" x14ac:dyDescent="0.3"/>
    <row r="62" ht="30" customHeight="1" x14ac:dyDescent="0.3"/>
    <row r="63" ht="30" customHeight="1" x14ac:dyDescent="0.3"/>
    <row r="6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7" ht="30" customHeight="1" x14ac:dyDescent="0.3"/>
    <row r="78" ht="30" customHeight="1" x14ac:dyDescent="0.3"/>
    <row r="79" ht="30" customHeight="1" x14ac:dyDescent="0.3"/>
    <row r="80" ht="30" customHeight="1" x14ac:dyDescent="0.3"/>
    <row r="81" ht="30" customHeight="1" x14ac:dyDescent="0.3"/>
    <row r="82" ht="30" customHeight="1" x14ac:dyDescent="0.3"/>
    <row r="83" ht="30" customHeight="1" x14ac:dyDescent="0.3"/>
    <row r="84" ht="30" customHeight="1" x14ac:dyDescent="0.3"/>
    <row r="85" ht="30" customHeight="1" x14ac:dyDescent="0.3"/>
    <row r="86" ht="30" customHeight="1" x14ac:dyDescent="0.3"/>
    <row r="87" ht="30" customHeight="1" x14ac:dyDescent="0.3"/>
    <row r="88" ht="30" customHeight="1" x14ac:dyDescent="0.3"/>
    <row r="89" ht="30" customHeight="1" x14ac:dyDescent="0.3"/>
    <row r="90" ht="30" customHeight="1" x14ac:dyDescent="0.3"/>
    <row r="91" ht="30" customHeight="1" x14ac:dyDescent="0.3"/>
    <row r="92" ht="30" customHeight="1" x14ac:dyDescent="0.3"/>
    <row r="93" ht="30" customHeight="1" x14ac:dyDescent="0.3"/>
    <row r="94" ht="30" customHeight="1" x14ac:dyDescent="0.3"/>
    <row r="95" ht="30" customHeight="1" x14ac:dyDescent="0.3"/>
    <row r="96" ht="30" customHeight="1" x14ac:dyDescent="0.3"/>
    <row r="97" ht="30" customHeight="1" x14ac:dyDescent="0.3"/>
    <row r="98" ht="30" customHeight="1" x14ac:dyDescent="0.3"/>
    <row r="99" ht="30" customHeight="1" x14ac:dyDescent="0.3"/>
    <row r="100" ht="30" customHeight="1" x14ac:dyDescent="0.3"/>
    <row r="101" ht="30" customHeight="1" x14ac:dyDescent="0.3"/>
    <row r="102" ht="30" customHeight="1" x14ac:dyDescent="0.3"/>
    <row r="103" ht="30" customHeight="1" x14ac:dyDescent="0.3"/>
    <row r="104" ht="30" customHeight="1" x14ac:dyDescent="0.3"/>
    <row r="105" ht="30" customHeight="1" x14ac:dyDescent="0.3"/>
    <row r="106" ht="30" customHeight="1" x14ac:dyDescent="0.3"/>
    <row r="107" ht="30" customHeight="1" x14ac:dyDescent="0.3"/>
    <row r="108" ht="30" customHeight="1" x14ac:dyDescent="0.3"/>
    <row r="109" ht="30" customHeight="1" x14ac:dyDescent="0.3"/>
    <row r="110" ht="30" customHeight="1" x14ac:dyDescent="0.3"/>
    <row r="111" ht="30" customHeight="1" x14ac:dyDescent="0.3"/>
    <row r="112" ht="30" customHeight="1" x14ac:dyDescent="0.3"/>
    <row r="113" ht="30" customHeight="1" x14ac:dyDescent="0.3"/>
    <row r="114" ht="30" customHeight="1" x14ac:dyDescent="0.3"/>
    <row r="115" ht="30" customHeight="1" x14ac:dyDescent="0.3"/>
    <row r="116" ht="30" customHeight="1" x14ac:dyDescent="0.3"/>
    <row r="117" ht="30" customHeight="1" x14ac:dyDescent="0.3"/>
    <row r="118" ht="30" customHeight="1" x14ac:dyDescent="0.3"/>
    <row r="119" ht="30" customHeight="1" x14ac:dyDescent="0.3"/>
    <row r="120" ht="30" customHeight="1" x14ac:dyDescent="0.3"/>
    <row r="121" ht="30" customHeight="1" x14ac:dyDescent="0.3"/>
    <row r="122" ht="30" customHeight="1" x14ac:dyDescent="0.3"/>
    <row r="123" ht="30" customHeight="1" x14ac:dyDescent="0.3"/>
    <row r="124" ht="30" customHeight="1" x14ac:dyDescent="0.3"/>
    <row r="125" ht="30" customHeight="1" x14ac:dyDescent="0.3"/>
    <row r="126" ht="30" customHeight="1" x14ac:dyDescent="0.3"/>
    <row r="127" ht="30" customHeight="1" x14ac:dyDescent="0.3"/>
    <row r="128" ht="30" customHeight="1" x14ac:dyDescent="0.3"/>
    <row r="129" ht="30" customHeight="1" x14ac:dyDescent="0.3"/>
    <row r="130" ht="30" customHeight="1" x14ac:dyDescent="0.3"/>
    <row r="131" ht="30" customHeight="1" x14ac:dyDescent="0.3"/>
    <row r="132" ht="30" customHeight="1" x14ac:dyDescent="0.3"/>
    <row r="133" ht="30" customHeight="1" x14ac:dyDescent="0.3"/>
    <row r="134" ht="30" customHeight="1" x14ac:dyDescent="0.3"/>
    <row r="135" ht="30" customHeight="1" x14ac:dyDescent="0.3"/>
    <row r="136" ht="30" customHeight="1" x14ac:dyDescent="0.3"/>
    <row r="137" ht="30" customHeight="1" x14ac:dyDescent="0.3"/>
    <row r="138" ht="30" customHeight="1" x14ac:dyDescent="0.3"/>
    <row r="139" ht="30" customHeight="1" x14ac:dyDescent="0.3"/>
    <row r="140" ht="30" customHeight="1" x14ac:dyDescent="0.3"/>
    <row r="141" ht="30" customHeight="1" x14ac:dyDescent="0.3"/>
    <row r="142" ht="30" customHeight="1" x14ac:dyDescent="0.3"/>
    <row r="143" ht="30" customHeight="1" x14ac:dyDescent="0.3"/>
    <row r="144" ht="30" customHeight="1" x14ac:dyDescent="0.3"/>
    <row r="145" ht="30" customHeight="1" x14ac:dyDescent="0.3"/>
    <row r="146" ht="30" customHeight="1" x14ac:dyDescent="0.3"/>
    <row r="147" ht="30" customHeight="1" x14ac:dyDescent="0.3"/>
    <row r="148" ht="30" customHeight="1" x14ac:dyDescent="0.3"/>
    <row r="149" ht="30" customHeight="1" x14ac:dyDescent="0.3"/>
    <row r="150" ht="30" customHeight="1" x14ac:dyDescent="0.3"/>
    <row r="151" ht="30" customHeight="1" x14ac:dyDescent="0.3"/>
    <row r="152" ht="30" customHeight="1" x14ac:dyDescent="0.3"/>
    <row r="153" ht="30" customHeight="1" x14ac:dyDescent="0.3"/>
    <row r="154" ht="30" customHeight="1" x14ac:dyDescent="0.3"/>
    <row r="155" ht="30" customHeight="1" x14ac:dyDescent="0.3"/>
    <row r="156" ht="30" customHeight="1" x14ac:dyDescent="0.3"/>
    <row r="157" ht="30" customHeight="1" x14ac:dyDescent="0.3"/>
    <row r="158" ht="30" customHeight="1" x14ac:dyDescent="0.3"/>
    <row r="159" ht="30" customHeight="1" x14ac:dyDescent="0.3"/>
    <row r="160" ht="30" customHeight="1" x14ac:dyDescent="0.3"/>
    <row r="161" ht="30" customHeight="1" x14ac:dyDescent="0.3"/>
    <row r="162" ht="30" customHeight="1" x14ac:dyDescent="0.3"/>
    <row r="163" ht="30" customHeight="1" x14ac:dyDescent="0.3"/>
    <row r="164" ht="30" customHeight="1" x14ac:dyDescent="0.3"/>
    <row r="165" ht="30" customHeight="1" x14ac:dyDescent="0.3"/>
    <row r="166" ht="30" customHeight="1" x14ac:dyDescent="0.3"/>
    <row r="167" ht="30" customHeight="1" x14ac:dyDescent="0.3"/>
    <row r="168" ht="30" customHeight="1" x14ac:dyDescent="0.3"/>
    <row r="169" ht="30" customHeight="1" x14ac:dyDescent="0.3"/>
    <row r="170" ht="30" customHeight="1" x14ac:dyDescent="0.3"/>
    <row r="171" ht="30" customHeight="1" x14ac:dyDescent="0.3"/>
    <row r="172" ht="30" customHeight="1" x14ac:dyDescent="0.3"/>
    <row r="173" ht="30" customHeight="1" x14ac:dyDescent="0.3"/>
    <row r="174" ht="30" customHeight="1" x14ac:dyDescent="0.3"/>
    <row r="175" ht="30" customHeight="1" x14ac:dyDescent="0.3"/>
    <row r="17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sheetData>
  <mergeCells count="77">
    <mergeCell ref="B2:AJ3"/>
    <mergeCell ref="B5:D5"/>
    <mergeCell ref="E5:L5"/>
    <mergeCell ref="M5:O5"/>
    <mergeCell ref="P5:U5"/>
    <mergeCell ref="B6:D6"/>
    <mergeCell ref="E6:L6"/>
    <mergeCell ref="M6:O6"/>
    <mergeCell ref="P6:U6"/>
    <mergeCell ref="B7:U7"/>
    <mergeCell ref="B8:U11"/>
    <mergeCell ref="C13:I13"/>
    <mergeCell ref="J13:N13"/>
    <mergeCell ref="O13:S13"/>
    <mergeCell ref="T13:AJ13"/>
    <mergeCell ref="B14:AJ14"/>
    <mergeCell ref="C15:I15"/>
    <mergeCell ref="J15:N15"/>
    <mergeCell ref="O15:S15"/>
    <mergeCell ref="T15:AJ15"/>
    <mergeCell ref="C16:I16"/>
    <mergeCell ref="J16:N16"/>
    <mergeCell ref="O16:S16"/>
    <mergeCell ref="T16:AJ16"/>
    <mergeCell ref="C17:I17"/>
    <mergeCell ref="J17:N17"/>
    <mergeCell ref="O17:S17"/>
    <mergeCell ref="T17:AJ17"/>
    <mergeCell ref="C18:I18"/>
    <mergeCell ref="J18:N18"/>
    <mergeCell ref="O18:S18"/>
    <mergeCell ref="T18:AJ18"/>
    <mergeCell ref="C19:I19"/>
    <mergeCell ref="J19:N19"/>
    <mergeCell ref="O19:S19"/>
    <mergeCell ref="T19:AJ19"/>
    <mergeCell ref="C20:I20"/>
    <mergeCell ref="J20:N20"/>
    <mergeCell ref="O20:S20"/>
    <mergeCell ref="T20:AJ20"/>
    <mergeCell ref="C21:I21"/>
    <mergeCell ref="J21:N21"/>
    <mergeCell ref="O21:S21"/>
    <mergeCell ref="T21:AJ21"/>
    <mergeCell ref="C22:I22"/>
    <mergeCell ref="J22:N22"/>
    <mergeCell ref="O22:S22"/>
    <mergeCell ref="T22:AJ22"/>
    <mergeCell ref="B23:AJ23"/>
    <mergeCell ref="C24:I24"/>
    <mergeCell ref="J24:N24"/>
    <mergeCell ref="O24:S24"/>
    <mergeCell ref="T24:AJ24"/>
    <mergeCell ref="C25:I25"/>
    <mergeCell ref="J25:N25"/>
    <mergeCell ref="O25:S25"/>
    <mergeCell ref="T25:AJ25"/>
    <mergeCell ref="C26:I26"/>
    <mergeCell ref="J26:N26"/>
    <mergeCell ref="O26:S26"/>
    <mergeCell ref="T26:AJ26"/>
    <mergeCell ref="C27:I27"/>
    <mergeCell ref="J27:N27"/>
    <mergeCell ref="O27:S27"/>
    <mergeCell ref="T27:AJ27"/>
    <mergeCell ref="C30:I30"/>
    <mergeCell ref="J30:N30"/>
    <mergeCell ref="O30:S30"/>
    <mergeCell ref="T30:AJ30"/>
    <mergeCell ref="C28:I28"/>
    <mergeCell ref="J28:N28"/>
    <mergeCell ref="O28:S28"/>
    <mergeCell ref="T28:AJ28"/>
    <mergeCell ref="C29:I29"/>
    <mergeCell ref="J29:N29"/>
    <mergeCell ref="O29:S29"/>
    <mergeCell ref="T29:AJ29"/>
  </mergeCells>
  <phoneticPr fontId="45" type="noConversion"/>
  <pageMargins left="0.7" right="0.7" top="0.75" bottom="0.75" header="0.51180555555555496" footer="0.51180555555555496"/>
  <pageSetup paperSize="9" firstPageNumber="0"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62"/>
  <sheetViews>
    <sheetView zoomScale="85" zoomScaleNormal="85" workbookViewId="0">
      <selection activeCell="B4" sqref="B4"/>
    </sheetView>
  </sheetViews>
  <sheetFormatPr defaultRowHeight="16.5" x14ac:dyDescent="0.3"/>
  <cols>
    <col min="1" max="1" width="3.375" customWidth="1"/>
    <col min="2" max="13" width="9" customWidth="1"/>
    <col min="14" max="14" width="10.875" customWidth="1"/>
    <col min="15" max="1025" width="9" customWidth="1"/>
  </cols>
  <sheetData>
    <row r="2" spans="2:20" ht="24.95" customHeight="1" x14ac:dyDescent="0.3">
      <c r="B2" s="391" t="s">
        <v>0</v>
      </c>
      <c r="C2" s="391"/>
      <c r="D2" s="391"/>
      <c r="E2" s="392" t="s">
        <v>1</v>
      </c>
      <c r="F2" s="392"/>
      <c r="G2" s="392"/>
      <c r="H2" s="392"/>
      <c r="I2" s="392"/>
      <c r="J2" s="392"/>
      <c r="K2" s="392"/>
      <c r="L2" s="392"/>
      <c r="M2" s="393" t="s">
        <v>2</v>
      </c>
      <c r="N2" s="393"/>
      <c r="O2" s="393"/>
      <c r="P2" s="394" t="str">
        <f>'00_팀프로젝트_큰틀'!P2</f>
        <v>홍길순</v>
      </c>
      <c r="Q2" s="394"/>
      <c r="R2" s="394"/>
      <c r="S2" s="394"/>
      <c r="T2" s="394"/>
    </row>
    <row r="3" spans="2:20" ht="24.95" customHeight="1" x14ac:dyDescent="0.3">
      <c r="B3" s="240" t="s">
        <v>4</v>
      </c>
      <c r="C3" s="240"/>
      <c r="D3" s="240"/>
      <c r="E3" s="241" t="s">
        <v>5</v>
      </c>
      <c r="F3" s="241"/>
      <c r="G3" s="241"/>
      <c r="H3" s="241"/>
      <c r="I3" s="241"/>
      <c r="J3" s="241"/>
      <c r="K3" s="241"/>
      <c r="L3" s="241"/>
      <c r="M3" s="242" t="s">
        <v>6</v>
      </c>
      <c r="N3" s="242"/>
      <c r="O3" s="242"/>
      <c r="P3" s="375">
        <v>44806</v>
      </c>
      <c r="Q3" s="375"/>
      <c r="R3" s="375"/>
      <c r="S3" s="375"/>
      <c r="T3" s="375"/>
    </row>
    <row r="4" spans="2:20" ht="24.95" customHeight="1" x14ac:dyDescent="0.3">
      <c r="B4" s="361" t="s">
        <v>61</v>
      </c>
      <c r="C4" s="361"/>
      <c r="D4" s="361"/>
      <c r="E4" s="361"/>
      <c r="F4" s="361"/>
      <c r="G4" s="361"/>
      <c r="H4" s="361"/>
      <c r="I4" s="361"/>
      <c r="J4" s="361"/>
      <c r="K4" s="361"/>
      <c r="L4" s="361"/>
      <c r="M4" s="361"/>
      <c r="N4" s="361"/>
      <c r="O4" s="361"/>
      <c r="P4" s="361"/>
      <c r="Q4" s="361"/>
      <c r="R4" s="361"/>
      <c r="S4" s="361"/>
      <c r="T4" s="361"/>
    </row>
    <row r="5" spans="2:20" ht="24.95" customHeight="1" x14ac:dyDescent="0.3">
      <c r="B5" s="390" t="s">
        <v>1092</v>
      </c>
      <c r="C5" s="390"/>
      <c r="D5" s="390"/>
      <c r="E5" s="390"/>
      <c r="F5" s="390"/>
      <c r="G5" s="390"/>
      <c r="H5" s="390"/>
      <c r="I5" s="390"/>
      <c r="J5" s="390"/>
      <c r="K5" s="390"/>
      <c r="L5" s="390"/>
      <c r="M5" s="390"/>
      <c r="N5" s="390"/>
      <c r="O5" s="390"/>
      <c r="P5" s="390"/>
      <c r="Q5" s="390"/>
      <c r="R5" s="390"/>
      <c r="S5" s="390"/>
      <c r="T5" s="390"/>
    </row>
    <row r="6" spans="2:20" ht="39.950000000000003" customHeight="1" x14ac:dyDescent="0.3">
      <c r="B6" s="390"/>
      <c r="C6" s="390"/>
      <c r="D6" s="390"/>
      <c r="E6" s="390"/>
      <c r="F6" s="390"/>
      <c r="G6" s="390"/>
      <c r="H6" s="390"/>
      <c r="I6" s="390"/>
      <c r="J6" s="390"/>
      <c r="K6" s="390"/>
      <c r="L6" s="390"/>
      <c r="M6" s="390"/>
      <c r="N6" s="390"/>
      <c r="O6" s="390"/>
      <c r="P6" s="390"/>
      <c r="Q6" s="390"/>
      <c r="R6" s="390"/>
      <c r="S6" s="390"/>
      <c r="T6" s="390"/>
    </row>
    <row r="7" spans="2:20" ht="39.950000000000003" customHeight="1" x14ac:dyDescent="0.3">
      <c r="B7" s="390"/>
      <c r="C7" s="390"/>
      <c r="D7" s="390"/>
      <c r="E7" s="390"/>
      <c r="F7" s="390"/>
      <c r="G7" s="390"/>
      <c r="H7" s="390"/>
      <c r="I7" s="390"/>
      <c r="J7" s="390"/>
      <c r="K7" s="390"/>
      <c r="L7" s="390"/>
      <c r="M7" s="390"/>
      <c r="N7" s="390"/>
      <c r="O7" s="390"/>
      <c r="P7" s="390"/>
      <c r="Q7" s="390"/>
      <c r="R7" s="390"/>
      <c r="S7" s="390"/>
      <c r="T7" s="390"/>
    </row>
    <row r="8" spans="2:20" ht="39.950000000000003" customHeight="1" x14ac:dyDescent="0.3">
      <c r="B8" s="390"/>
      <c r="C8" s="390"/>
      <c r="D8" s="390"/>
      <c r="E8" s="390"/>
      <c r="F8" s="390"/>
      <c r="G8" s="390"/>
      <c r="H8" s="390"/>
      <c r="I8" s="390"/>
      <c r="J8" s="390"/>
      <c r="K8" s="390"/>
      <c r="L8" s="390"/>
      <c r="M8" s="390"/>
      <c r="N8" s="390"/>
      <c r="O8" s="390"/>
      <c r="P8" s="390"/>
      <c r="Q8" s="390"/>
      <c r="R8" s="390"/>
      <c r="S8" s="390"/>
      <c r="T8" s="390"/>
    </row>
    <row r="10" spans="2:20" ht="30" customHeight="1" x14ac:dyDescent="0.3">
      <c r="B10" s="255" t="s">
        <v>1093</v>
      </c>
      <c r="C10" s="255"/>
      <c r="D10" s="255"/>
      <c r="E10" s="255"/>
      <c r="F10" s="255"/>
      <c r="G10" s="255"/>
      <c r="H10" s="255"/>
      <c r="I10" s="255"/>
      <c r="J10" s="255"/>
      <c r="K10" s="255"/>
      <c r="L10" s="255"/>
      <c r="M10" s="255"/>
      <c r="N10" s="255"/>
      <c r="O10" s="255"/>
      <c r="P10" s="255"/>
      <c r="Q10" s="255"/>
      <c r="R10" s="255"/>
      <c r="S10" s="255"/>
      <c r="T10" s="255"/>
    </row>
    <row r="11" spans="2:20" ht="30" customHeight="1" x14ac:dyDescent="0.3">
      <c r="B11" s="255"/>
      <c r="C11" s="255"/>
      <c r="D11" s="255"/>
      <c r="E11" s="255"/>
      <c r="F11" s="255"/>
      <c r="G11" s="255"/>
      <c r="H11" s="255"/>
      <c r="I11" s="255"/>
      <c r="J11" s="255"/>
      <c r="K11" s="255"/>
      <c r="L11" s="255"/>
      <c r="M11" s="255"/>
      <c r="N11" s="255"/>
      <c r="O11" s="255"/>
      <c r="P11" s="255"/>
      <c r="Q11" s="255"/>
      <c r="R11" s="255"/>
      <c r="S11" s="255"/>
      <c r="T11" s="255"/>
    </row>
    <row r="13" spans="2:20" ht="30" customHeight="1" x14ac:dyDescent="0.3">
      <c r="B13" s="33" t="s">
        <v>15</v>
      </c>
      <c r="C13" s="388" t="s">
        <v>1094</v>
      </c>
      <c r="D13" s="388"/>
      <c r="E13" s="388"/>
      <c r="F13" s="388"/>
      <c r="G13" s="388"/>
      <c r="H13" s="388"/>
      <c r="I13" s="454" t="s">
        <v>1095</v>
      </c>
      <c r="J13" s="454"/>
      <c r="K13" s="454"/>
      <c r="L13" s="454"/>
      <c r="M13" s="454"/>
      <c r="N13" s="65" t="s">
        <v>1096</v>
      </c>
      <c r="O13" s="454" t="s">
        <v>565</v>
      </c>
      <c r="P13" s="454"/>
      <c r="Q13" s="454"/>
      <c r="R13" s="454"/>
      <c r="S13" s="454"/>
      <c r="T13" s="454"/>
    </row>
    <row r="14" spans="2:20" ht="30" customHeight="1" x14ac:dyDescent="0.3">
      <c r="B14" s="5">
        <v>1</v>
      </c>
      <c r="C14" s="247" t="s">
        <v>1097</v>
      </c>
      <c r="D14" s="247"/>
      <c r="E14" s="247"/>
      <c r="F14" s="247"/>
      <c r="G14" s="247"/>
      <c r="H14" s="247"/>
      <c r="I14" s="247" t="s">
        <v>1098</v>
      </c>
      <c r="J14" s="247"/>
      <c r="K14" s="247"/>
      <c r="L14" s="247"/>
      <c r="M14" s="247"/>
      <c r="N14" s="5" t="s">
        <v>771</v>
      </c>
      <c r="O14" s="247" t="s">
        <v>1099</v>
      </c>
      <c r="P14" s="247"/>
      <c r="Q14" s="247"/>
      <c r="R14" s="247"/>
      <c r="S14" s="247"/>
      <c r="T14" s="247"/>
    </row>
    <row r="15" spans="2:20" ht="30" customHeight="1" x14ac:dyDescent="0.3">
      <c r="B15" s="5">
        <v>2</v>
      </c>
      <c r="C15" s="247"/>
      <c r="D15" s="247"/>
      <c r="E15" s="247"/>
      <c r="F15" s="247"/>
      <c r="G15" s="247"/>
      <c r="H15" s="247"/>
      <c r="I15" s="247" t="s">
        <v>1100</v>
      </c>
      <c r="J15" s="247"/>
      <c r="K15" s="247"/>
      <c r="L15" s="247"/>
      <c r="M15" s="247"/>
      <c r="N15" s="5" t="s">
        <v>771</v>
      </c>
      <c r="O15" s="247"/>
      <c r="P15" s="247"/>
      <c r="Q15" s="247"/>
      <c r="R15" s="247"/>
      <c r="S15" s="247"/>
      <c r="T15" s="247"/>
    </row>
    <row r="16" spans="2:20" ht="30" customHeight="1" x14ac:dyDescent="0.3">
      <c r="B16" s="5">
        <v>3</v>
      </c>
      <c r="C16" s="247"/>
      <c r="D16" s="247"/>
      <c r="E16" s="247"/>
      <c r="F16" s="247"/>
      <c r="G16" s="247"/>
      <c r="H16" s="247"/>
      <c r="I16" s="247" t="s">
        <v>1101</v>
      </c>
      <c r="J16" s="247"/>
      <c r="K16" s="247"/>
      <c r="L16" s="247"/>
      <c r="M16" s="247"/>
      <c r="N16" s="5" t="s">
        <v>771</v>
      </c>
      <c r="O16" s="247"/>
      <c r="P16" s="247"/>
      <c r="Q16" s="247"/>
      <c r="R16" s="247"/>
      <c r="S16" s="247"/>
      <c r="T16" s="247"/>
    </row>
    <row r="17" spans="2:20" ht="30" customHeight="1" x14ac:dyDescent="0.3">
      <c r="B17" s="5">
        <v>4</v>
      </c>
      <c r="C17" s="247"/>
      <c r="D17" s="247"/>
      <c r="E17" s="247"/>
      <c r="F17" s="247"/>
      <c r="G17" s="247"/>
      <c r="H17" s="247"/>
      <c r="I17" s="247" t="s">
        <v>1102</v>
      </c>
      <c r="J17" s="247"/>
      <c r="K17" s="247"/>
      <c r="L17" s="247"/>
      <c r="M17" s="247"/>
      <c r="N17" s="5" t="s">
        <v>771</v>
      </c>
      <c r="O17" s="247"/>
      <c r="P17" s="247"/>
      <c r="Q17" s="247"/>
      <c r="R17" s="247"/>
      <c r="S17" s="247"/>
      <c r="T17" s="247"/>
    </row>
    <row r="18" spans="2:20" ht="30" customHeight="1" x14ac:dyDescent="0.3">
      <c r="B18" s="5">
        <v>5</v>
      </c>
      <c r="C18" s="247"/>
      <c r="D18" s="247"/>
      <c r="E18" s="247"/>
      <c r="F18" s="247"/>
      <c r="G18" s="247"/>
      <c r="H18" s="247"/>
      <c r="I18" s="247" t="s">
        <v>1103</v>
      </c>
      <c r="J18" s="247"/>
      <c r="K18" s="247"/>
      <c r="L18" s="247"/>
      <c r="M18" s="247"/>
      <c r="N18" s="5" t="s">
        <v>1104</v>
      </c>
      <c r="O18" s="247"/>
      <c r="P18" s="247"/>
      <c r="Q18" s="247"/>
      <c r="R18" s="247"/>
      <c r="S18" s="247"/>
      <c r="T18" s="247"/>
    </row>
    <row r="19" spans="2:20" ht="30" customHeight="1" x14ac:dyDescent="0.3">
      <c r="B19" s="5">
        <v>6</v>
      </c>
      <c r="C19" s="247"/>
      <c r="D19" s="247"/>
      <c r="E19" s="247"/>
      <c r="F19" s="247"/>
      <c r="G19" s="247"/>
      <c r="H19" s="247"/>
      <c r="I19" s="247" t="s">
        <v>1105</v>
      </c>
      <c r="J19" s="247"/>
      <c r="K19" s="247"/>
      <c r="L19" s="247"/>
      <c r="M19" s="247"/>
      <c r="N19" s="5" t="s">
        <v>1104</v>
      </c>
      <c r="O19" s="247"/>
      <c r="P19" s="247"/>
      <c r="Q19" s="247"/>
      <c r="R19" s="247"/>
      <c r="S19" s="247"/>
      <c r="T19" s="247"/>
    </row>
    <row r="20" spans="2:20" ht="30" customHeight="1" x14ac:dyDescent="0.3">
      <c r="B20" s="5">
        <v>7</v>
      </c>
      <c r="C20" s="247"/>
      <c r="D20" s="247"/>
      <c r="E20" s="247"/>
      <c r="F20" s="247"/>
      <c r="G20" s="247"/>
      <c r="H20" s="247"/>
      <c r="I20" s="247" t="s">
        <v>1106</v>
      </c>
      <c r="J20" s="247"/>
      <c r="K20" s="247"/>
      <c r="L20" s="247"/>
      <c r="M20" s="247"/>
      <c r="N20" s="5" t="s">
        <v>1104</v>
      </c>
      <c r="O20" s="247"/>
      <c r="P20" s="247"/>
      <c r="Q20" s="247"/>
      <c r="R20" s="247"/>
      <c r="S20" s="247"/>
      <c r="T20" s="247"/>
    </row>
    <row r="21" spans="2:20" ht="30" customHeight="1" x14ac:dyDescent="0.3">
      <c r="B21" s="5">
        <v>8</v>
      </c>
      <c r="C21" s="247"/>
      <c r="D21" s="247"/>
      <c r="E21" s="247"/>
      <c r="F21" s="247"/>
      <c r="G21" s="247"/>
      <c r="H21" s="247"/>
      <c r="I21" s="247" t="s">
        <v>1107</v>
      </c>
      <c r="J21" s="247"/>
      <c r="K21" s="247"/>
      <c r="L21" s="247"/>
      <c r="M21" s="247"/>
      <c r="N21" s="5" t="s">
        <v>1104</v>
      </c>
      <c r="O21" s="247"/>
      <c r="P21" s="247"/>
      <c r="Q21" s="247"/>
      <c r="R21" s="247"/>
      <c r="S21" s="247"/>
      <c r="T21" s="247"/>
    </row>
    <row r="22" spans="2:20" ht="30" customHeight="1" x14ac:dyDescent="0.3">
      <c r="B22" s="5">
        <v>9</v>
      </c>
      <c r="C22" s="247"/>
      <c r="D22" s="247"/>
      <c r="E22" s="247"/>
      <c r="F22" s="247"/>
      <c r="G22" s="247"/>
      <c r="H22" s="247"/>
      <c r="I22" s="247" t="s">
        <v>1108</v>
      </c>
      <c r="J22" s="247"/>
      <c r="K22" s="247"/>
      <c r="L22" s="247"/>
      <c r="M22" s="247"/>
      <c r="N22" s="5" t="s">
        <v>1104</v>
      </c>
      <c r="O22" s="247"/>
      <c r="P22" s="247"/>
      <c r="Q22" s="247"/>
      <c r="R22" s="247"/>
      <c r="S22" s="247"/>
      <c r="T22" s="247"/>
    </row>
    <row r="23" spans="2:20" ht="30" customHeight="1" x14ac:dyDescent="0.3">
      <c r="B23" s="5">
        <v>10</v>
      </c>
      <c r="C23" s="247"/>
      <c r="D23" s="247"/>
      <c r="E23" s="247"/>
      <c r="F23" s="247"/>
      <c r="G23" s="247"/>
      <c r="H23" s="247"/>
      <c r="I23" s="247" t="s">
        <v>1109</v>
      </c>
      <c r="J23" s="247"/>
      <c r="K23" s="247"/>
      <c r="L23" s="247"/>
      <c r="M23" s="247"/>
      <c r="N23" s="5" t="s">
        <v>1104</v>
      </c>
      <c r="O23" s="247"/>
      <c r="P23" s="247"/>
      <c r="Q23" s="247"/>
      <c r="R23" s="247"/>
      <c r="S23" s="247"/>
      <c r="T23" s="247"/>
    </row>
    <row r="24" spans="2:20" ht="30" customHeight="1" x14ac:dyDescent="0.3">
      <c r="B24" s="5">
        <v>11</v>
      </c>
      <c r="C24" s="247"/>
      <c r="D24" s="247"/>
      <c r="E24" s="247"/>
      <c r="F24" s="247"/>
      <c r="G24" s="247"/>
      <c r="H24" s="247"/>
      <c r="I24" s="247" t="s">
        <v>1110</v>
      </c>
      <c r="J24" s="247"/>
      <c r="K24" s="247"/>
      <c r="L24" s="247"/>
      <c r="M24" s="247"/>
      <c r="N24" s="5"/>
      <c r="O24" s="247"/>
      <c r="P24" s="247"/>
      <c r="Q24" s="247"/>
      <c r="R24" s="247"/>
      <c r="S24" s="247"/>
      <c r="T24" s="247"/>
    </row>
    <row r="25" spans="2:20" ht="30" customHeight="1" x14ac:dyDescent="0.3">
      <c r="B25" s="5">
        <v>12</v>
      </c>
      <c r="C25" s="247"/>
      <c r="D25" s="247"/>
      <c r="E25" s="247"/>
      <c r="F25" s="247"/>
      <c r="G25" s="247"/>
      <c r="H25" s="247"/>
      <c r="I25" s="247" t="s">
        <v>1111</v>
      </c>
      <c r="J25" s="247"/>
      <c r="K25" s="247"/>
      <c r="L25" s="247"/>
      <c r="M25" s="247"/>
      <c r="N25" s="5"/>
      <c r="O25" s="247"/>
      <c r="P25" s="247"/>
      <c r="Q25" s="247"/>
      <c r="R25" s="247"/>
      <c r="S25" s="247"/>
      <c r="T25" s="247"/>
    </row>
    <row r="26" spans="2:20" ht="30" customHeight="1" x14ac:dyDescent="0.3">
      <c r="B26" s="5">
        <v>13</v>
      </c>
      <c r="C26" s="247"/>
      <c r="D26" s="247"/>
      <c r="E26" s="247"/>
      <c r="F26" s="247"/>
      <c r="G26" s="247"/>
      <c r="H26" s="247"/>
      <c r="I26" s="247" t="s">
        <v>1112</v>
      </c>
      <c r="J26" s="247"/>
      <c r="K26" s="247"/>
      <c r="L26" s="247"/>
      <c r="M26" s="247"/>
      <c r="N26" s="5"/>
      <c r="O26" s="247"/>
      <c r="P26" s="247"/>
      <c r="Q26" s="247"/>
      <c r="R26" s="247"/>
      <c r="S26" s="247"/>
      <c r="T26" s="247"/>
    </row>
    <row r="27" spans="2:20" ht="30" customHeight="1" x14ac:dyDescent="0.3">
      <c r="B27" s="5">
        <v>14</v>
      </c>
      <c r="C27" s="247"/>
      <c r="D27" s="247"/>
      <c r="E27" s="247"/>
      <c r="F27" s="247"/>
      <c r="G27" s="247"/>
      <c r="H27" s="247"/>
      <c r="I27" s="247" t="s">
        <v>1113</v>
      </c>
      <c r="J27" s="247"/>
      <c r="K27" s="247"/>
      <c r="L27" s="247"/>
      <c r="M27" s="247"/>
      <c r="N27" s="5"/>
      <c r="O27" s="247"/>
      <c r="P27" s="247"/>
      <c r="Q27" s="247"/>
      <c r="R27" s="247"/>
      <c r="S27" s="247"/>
      <c r="T27" s="247"/>
    </row>
    <row r="28" spans="2:20" ht="30" customHeight="1" x14ac:dyDescent="0.3">
      <c r="B28" s="5">
        <v>15</v>
      </c>
      <c r="C28" s="247"/>
      <c r="D28" s="247"/>
      <c r="E28" s="247"/>
      <c r="F28" s="247"/>
      <c r="G28" s="247"/>
      <c r="H28" s="247"/>
      <c r="I28" s="247" t="s">
        <v>1114</v>
      </c>
      <c r="J28" s="247"/>
      <c r="K28" s="247"/>
      <c r="L28" s="247"/>
      <c r="M28" s="247"/>
      <c r="N28" s="5"/>
      <c r="O28" s="247"/>
      <c r="P28" s="247"/>
      <c r="Q28" s="247"/>
      <c r="R28" s="247"/>
      <c r="S28" s="247"/>
      <c r="T28" s="247"/>
    </row>
    <row r="29" spans="2:20" ht="24.95" customHeight="1" x14ac:dyDescent="0.3"/>
    <row r="30" spans="2:20" ht="24.95" customHeight="1" x14ac:dyDescent="0.3"/>
    <row r="31" spans="2:20" ht="24.95" customHeight="1" x14ac:dyDescent="0.3"/>
    <row r="32" spans="2:20" ht="30" customHeight="1" x14ac:dyDescent="0.3"/>
    <row r="33" ht="30" customHeight="1" x14ac:dyDescent="0.3"/>
    <row r="34" ht="30" customHeight="1" x14ac:dyDescent="0.3"/>
    <row r="35" ht="30" customHeight="1" x14ac:dyDescent="0.3"/>
    <row r="36" ht="30" customHeight="1" x14ac:dyDescent="0.3"/>
    <row r="37" ht="24.95" customHeight="1" x14ac:dyDescent="0.3"/>
    <row r="38" ht="30" customHeight="1" x14ac:dyDescent="0.3"/>
    <row r="39" ht="30" customHeight="1" x14ac:dyDescent="0.3"/>
    <row r="40" ht="30" customHeight="1" x14ac:dyDescent="0.3"/>
    <row r="41" ht="30" customHeight="1" x14ac:dyDescent="0.3"/>
    <row r="42" ht="15" customHeight="1" x14ac:dyDescent="0.3"/>
    <row r="43" ht="30" customHeight="1" x14ac:dyDescent="0.3"/>
    <row r="44" ht="30" customHeight="1" x14ac:dyDescent="0.3"/>
    <row r="45" ht="30" customHeight="1" x14ac:dyDescent="0.3"/>
    <row r="46" ht="30" customHeight="1" x14ac:dyDescent="0.3"/>
    <row r="47" ht="30" customHeight="1" x14ac:dyDescent="0.3"/>
    <row r="48" ht="30" customHeight="1" x14ac:dyDescent="0.3"/>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24.95" customHeight="1" x14ac:dyDescent="0.3"/>
    <row r="59" ht="24.95" customHeight="1" x14ac:dyDescent="0.3"/>
    <row r="60" ht="24.95" customHeight="1" x14ac:dyDescent="0.3"/>
    <row r="61" ht="24.95" customHeight="1" x14ac:dyDescent="0.3"/>
    <row r="62" ht="24.95" customHeight="1" x14ac:dyDescent="0.3"/>
  </sheetData>
  <mergeCells count="59">
    <mergeCell ref="B2:D2"/>
    <mergeCell ref="E2:L2"/>
    <mergeCell ref="M2:O2"/>
    <mergeCell ref="P2:T2"/>
    <mergeCell ref="B3:D3"/>
    <mergeCell ref="E3:L3"/>
    <mergeCell ref="M3:O3"/>
    <mergeCell ref="P3:T3"/>
    <mergeCell ref="B4:T4"/>
    <mergeCell ref="B5:T8"/>
    <mergeCell ref="B10:T11"/>
    <mergeCell ref="C13:H13"/>
    <mergeCell ref="I13:M13"/>
    <mergeCell ref="O13:T13"/>
    <mergeCell ref="C14:H14"/>
    <mergeCell ref="I14:M14"/>
    <mergeCell ref="O14:T14"/>
    <mergeCell ref="C15:H15"/>
    <mergeCell ref="I15:M15"/>
    <mergeCell ref="O15:T15"/>
    <mergeCell ref="C16:H16"/>
    <mergeCell ref="I16:M16"/>
    <mergeCell ref="O16:T16"/>
    <mergeCell ref="C17:H17"/>
    <mergeCell ref="I17:M17"/>
    <mergeCell ref="O17:T17"/>
    <mergeCell ref="C18:H18"/>
    <mergeCell ref="I18:M18"/>
    <mergeCell ref="O18:T18"/>
    <mergeCell ref="C19:H19"/>
    <mergeCell ref="I19:M19"/>
    <mergeCell ref="O19:T19"/>
    <mergeCell ref="C20:H20"/>
    <mergeCell ref="I20:M20"/>
    <mergeCell ref="O20:T20"/>
    <mergeCell ref="C21:H21"/>
    <mergeCell ref="I21:M21"/>
    <mergeCell ref="O21:T21"/>
    <mergeCell ref="C22:H22"/>
    <mergeCell ref="I22:M22"/>
    <mergeCell ref="O22:T22"/>
    <mergeCell ref="C23:H23"/>
    <mergeCell ref="I23:M23"/>
    <mergeCell ref="O23:T23"/>
    <mergeCell ref="C24:H24"/>
    <mergeCell ref="I24:M24"/>
    <mergeCell ref="O24:T24"/>
    <mergeCell ref="C25:H25"/>
    <mergeCell ref="I25:M25"/>
    <mergeCell ref="O25:T25"/>
    <mergeCell ref="C28:H28"/>
    <mergeCell ref="I28:M28"/>
    <mergeCell ref="O28:T28"/>
    <mergeCell ref="C26:H26"/>
    <mergeCell ref="I26:M26"/>
    <mergeCell ref="O26:T26"/>
    <mergeCell ref="C27:H27"/>
    <mergeCell ref="I27:M27"/>
    <mergeCell ref="O27:T27"/>
  </mergeCells>
  <phoneticPr fontId="45" type="noConversion"/>
  <pageMargins left="0.7" right="0.7" top="0.75" bottom="0.75" header="0.51180555555555496" footer="0.51180555555555496"/>
  <pageSetup paperSize="9" firstPageNumber="0"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V58"/>
  <sheetViews>
    <sheetView zoomScale="85" zoomScaleNormal="85" workbookViewId="0">
      <selection activeCell="B4" sqref="B4"/>
    </sheetView>
  </sheetViews>
  <sheetFormatPr defaultRowHeight="16.5" x14ac:dyDescent="0.3"/>
  <cols>
    <col min="1" max="1" width="3.375" customWidth="1"/>
    <col min="2" max="13" width="9" customWidth="1"/>
    <col min="14" max="14" width="10.875" customWidth="1"/>
    <col min="15" max="1025" width="9" customWidth="1"/>
  </cols>
  <sheetData>
    <row r="2" spans="2:22" ht="24.95" customHeight="1" x14ac:dyDescent="0.3">
      <c r="B2" s="391" t="s">
        <v>0</v>
      </c>
      <c r="C2" s="391"/>
      <c r="D2" s="391"/>
      <c r="E2" s="392" t="s">
        <v>1</v>
      </c>
      <c r="F2" s="392"/>
      <c r="G2" s="392"/>
      <c r="H2" s="392"/>
      <c r="I2" s="392"/>
      <c r="J2" s="392"/>
      <c r="K2" s="392"/>
      <c r="L2" s="392"/>
      <c r="M2" s="393" t="s">
        <v>2</v>
      </c>
      <c r="N2" s="393"/>
      <c r="O2" s="393"/>
      <c r="P2" s="394" t="str">
        <f>'00_팀프로젝트_큰틀'!P2</f>
        <v>홍길순</v>
      </c>
      <c r="Q2" s="394"/>
      <c r="R2" s="394"/>
      <c r="S2" s="394"/>
      <c r="T2" s="394"/>
      <c r="U2" s="394"/>
      <c r="V2" s="394"/>
    </row>
    <row r="3" spans="2:22" ht="24.95" customHeight="1" x14ac:dyDescent="0.3">
      <c r="B3" s="240" t="s">
        <v>4</v>
      </c>
      <c r="C3" s="240"/>
      <c r="D3" s="240"/>
      <c r="E3" s="241" t="s">
        <v>5</v>
      </c>
      <c r="F3" s="241"/>
      <c r="G3" s="241"/>
      <c r="H3" s="241"/>
      <c r="I3" s="241"/>
      <c r="J3" s="241"/>
      <c r="K3" s="241"/>
      <c r="L3" s="241"/>
      <c r="M3" s="242" t="s">
        <v>6</v>
      </c>
      <c r="N3" s="242"/>
      <c r="O3" s="242"/>
      <c r="P3" s="375">
        <v>44806</v>
      </c>
      <c r="Q3" s="375"/>
      <c r="R3" s="375"/>
      <c r="S3" s="375"/>
      <c r="T3" s="375"/>
      <c r="U3" s="375"/>
      <c r="V3" s="375"/>
    </row>
    <row r="4" spans="2:22" ht="24.95" customHeight="1" x14ac:dyDescent="0.3">
      <c r="B4" s="361" t="s">
        <v>61</v>
      </c>
      <c r="C4" s="361"/>
      <c r="D4" s="361"/>
      <c r="E4" s="361"/>
      <c r="F4" s="361"/>
      <c r="G4" s="361"/>
      <c r="H4" s="361"/>
      <c r="I4" s="361"/>
      <c r="J4" s="361"/>
      <c r="K4" s="361"/>
      <c r="L4" s="361"/>
      <c r="M4" s="361"/>
      <c r="N4" s="361"/>
      <c r="O4" s="361"/>
      <c r="P4" s="361"/>
      <c r="Q4" s="361"/>
      <c r="R4" s="361"/>
      <c r="S4" s="361"/>
      <c r="T4" s="361"/>
      <c r="U4" s="361"/>
      <c r="V4" s="361"/>
    </row>
    <row r="5" spans="2:22" ht="24.95" customHeight="1" x14ac:dyDescent="0.3">
      <c r="B5" s="390" t="s">
        <v>1115</v>
      </c>
      <c r="C5" s="390"/>
      <c r="D5" s="390"/>
      <c r="E5" s="390"/>
      <c r="F5" s="390"/>
      <c r="G5" s="390"/>
      <c r="H5" s="390"/>
      <c r="I5" s="390"/>
      <c r="J5" s="390"/>
      <c r="K5" s="390"/>
      <c r="L5" s="390"/>
      <c r="M5" s="390"/>
      <c r="N5" s="390"/>
      <c r="O5" s="390"/>
      <c r="P5" s="390"/>
      <c r="Q5" s="390"/>
      <c r="R5" s="390"/>
      <c r="S5" s="390"/>
      <c r="T5" s="390"/>
      <c r="U5" s="390"/>
      <c r="V5" s="390"/>
    </row>
    <row r="6" spans="2:22" ht="39.950000000000003" customHeight="1" x14ac:dyDescent="0.3">
      <c r="B6" s="390"/>
      <c r="C6" s="390"/>
      <c r="D6" s="390"/>
      <c r="E6" s="390"/>
      <c r="F6" s="390"/>
      <c r="G6" s="390"/>
      <c r="H6" s="390"/>
      <c r="I6" s="390"/>
      <c r="J6" s="390"/>
      <c r="K6" s="390"/>
      <c r="L6" s="390"/>
      <c r="M6" s="390"/>
      <c r="N6" s="390"/>
      <c r="O6" s="390"/>
      <c r="P6" s="390"/>
      <c r="Q6" s="390"/>
      <c r="R6" s="390"/>
      <c r="S6" s="390"/>
      <c r="T6" s="390"/>
      <c r="U6" s="390"/>
      <c r="V6" s="390"/>
    </row>
    <row r="7" spans="2:22" ht="39.950000000000003" customHeight="1" x14ac:dyDescent="0.3">
      <c r="B7" s="390"/>
      <c r="C7" s="390"/>
      <c r="D7" s="390"/>
      <c r="E7" s="390"/>
      <c r="F7" s="390"/>
      <c r="G7" s="390"/>
      <c r="H7" s="390"/>
      <c r="I7" s="390"/>
      <c r="J7" s="390"/>
      <c r="K7" s="390"/>
      <c r="L7" s="390"/>
      <c r="M7" s="390"/>
      <c r="N7" s="390"/>
      <c r="O7" s="390"/>
      <c r="P7" s="390"/>
      <c r="Q7" s="390"/>
      <c r="R7" s="390"/>
      <c r="S7" s="390"/>
      <c r="T7" s="390"/>
      <c r="U7" s="390"/>
      <c r="V7" s="390"/>
    </row>
    <row r="8" spans="2:22" ht="39.950000000000003" customHeight="1" x14ac:dyDescent="0.3">
      <c r="B8" s="390"/>
      <c r="C8" s="390"/>
      <c r="D8" s="390"/>
      <c r="E8" s="390"/>
      <c r="F8" s="390"/>
      <c r="G8" s="390"/>
      <c r="H8" s="390"/>
      <c r="I8" s="390"/>
      <c r="J8" s="390"/>
      <c r="K8" s="390"/>
      <c r="L8" s="390"/>
      <c r="M8" s="390"/>
      <c r="N8" s="390"/>
      <c r="O8" s="390"/>
      <c r="P8" s="390"/>
      <c r="Q8" s="390"/>
      <c r="R8" s="390"/>
      <c r="S8" s="390"/>
      <c r="T8" s="390"/>
      <c r="U8" s="390"/>
      <c r="V8" s="390"/>
    </row>
    <row r="10" spans="2:22" ht="30" customHeight="1" x14ac:dyDescent="0.3">
      <c r="B10" s="255" t="s">
        <v>1116</v>
      </c>
      <c r="C10" s="255"/>
      <c r="D10" s="255"/>
      <c r="E10" s="255"/>
      <c r="F10" s="255"/>
      <c r="G10" s="255"/>
      <c r="H10" s="255"/>
      <c r="I10" s="255"/>
      <c r="J10" s="255"/>
      <c r="K10" s="255"/>
      <c r="L10" s="255"/>
      <c r="M10" s="255"/>
      <c r="N10" s="255"/>
      <c r="O10" s="255"/>
      <c r="P10" s="255"/>
      <c r="Q10" s="255"/>
      <c r="R10" s="255"/>
      <c r="S10" s="255"/>
      <c r="T10" s="255"/>
      <c r="U10" s="255"/>
      <c r="V10" s="255"/>
    </row>
    <row r="11" spans="2:22" ht="30" customHeight="1" x14ac:dyDescent="0.3">
      <c r="B11" s="255"/>
      <c r="C11" s="255"/>
      <c r="D11" s="255"/>
      <c r="E11" s="255"/>
      <c r="F11" s="255"/>
      <c r="G11" s="255"/>
      <c r="H11" s="255"/>
      <c r="I11" s="255"/>
      <c r="J11" s="255"/>
      <c r="K11" s="255"/>
      <c r="L11" s="255"/>
      <c r="M11" s="255"/>
      <c r="N11" s="255"/>
      <c r="O11" s="255"/>
      <c r="P11" s="255"/>
      <c r="Q11" s="255"/>
      <c r="R11" s="255"/>
      <c r="S11" s="255"/>
      <c r="T11" s="255"/>
      <c r="U11" s="255"/>
      <c r="V11" s="255"/>
    </row>
    <row r="13" spans="2:22" ht="30" customHeight="1" x14ac:dyDescent="0.3">
      <c r="B13" s="456"/>
      <c r="C13" s="456"/>
      <c r="D13" s="456"/>
      <c r="E13" s="456"/>
      <c r="F13" s="456"/>
      <c r="G13" s="456"/>
      <c r="H13" s="456"/>
      <c r="I13" s="456"/>
      <c r="J13" s="456"/>
      <c r="K13" s="456"/>
      <c r="L13" s="456"/>
      <c r="M13" s="456"/>
      <c r="N13" s="456"/>
      <c r="O13" s="456"/>
      <c r="P13" s="456"/>
      <c r="Q13" s="456"/>
      <c r="R13" s="456"/>
      <c r="S13" s="456"/>
      <c r="T13" s="456"/>
      <c r="U13" s="456"/>
      <c r="V13" s="456"/>
    </row>
    <row r="14" spans="2:22" ht="30" customHeight="1" x14ac:dyDescent="0.3">
      <c r="B14" s="299"/>
      <c r="C14" s="299"/>
      <c r="D14" s="299"/>
      <c r="E14" s="299"/>
      <c r="F14" s="299"/>
      <c r="G14" s="299"/>
      <c r="H14" s="299"/>
      <c r="I14" s="299"/>
      <c r="J14" s="299"/>
      <c r="K14" s="299"/>
      <c r="L14" s="299"/>
      <c r="M14" s="299"/>
      <c r="N14" s="299"/>
      <c r="O14" s="299"/>
      <c r="P14" s="299"/>
      <c r="Q14" s="299"/>
      <c r="R14" s="299"/>
      <c r="S14" s="299"/>
      <c r="T14" s="299"/>
      <c r="U14" s="299"/>
      <c r="V14" s="299"/>
    </row>
    <row r="15" spans="2:22" ht="30" customHeight="1" x14ac:dyDescent="0.3">
      <c r="B15" s="299"/>
      <c r="C15" s="299"/>
      <c r="D15" s="299"/>
      <c r="E15" s="299"/>
      <c r="F15" s="299"/>
      <c r="G15" s="299"/>
      <c r="H15" s="299"/>
      <c r="I15" s="299"/>
      <c r="J15" s="299"/>
      <c r="K15" s="299"/>
      <c r="L15" s="299"/>
      <c r="M15" s="299"/>
      <c r="N15" s="299"/>
      <c r="O15" s="299"/>
      <c r="P15" s="299"/>
      <c r="Q15" s="299"/>
      <c r="R15" s="299"/>
      <c r="S15" s="299"/>
      <c r="T15" s="299"/>
      <c r="U15" s="299"/>
      <c r="V15" s="299"/>
    </row>
    <row r="16" spans="2:22" ht="30" customHeight="1" x14ac:dyDescent="0.3">
      <c r="B16" s="299"/>
      <c r="C16" s="299"/>
      <c r="D16" s="299"/>
      <c r="E16" s="299"/>
      <c r="F16" s="299"/>
      <c r="G16" s="299"/>
      <c r="H16" s="299"/>
      <c r="I16" s="299"/>
      <c r="J16" s="299"/>
      <c r="K16" s="299"/>
      <c r="L16" s="299"/>
      <c r="M16" s="299"/>
      <c r="N16" s="299"/>
      <c r="O16" s="299"/>
      <c r="P16" s="299"/>
      <c r="Q16" s="299"/>
      <c r="R16" s="299"/>
      <c r="S16" s="299"/>
      <c r="T16" s="299"/>
      <c r="U16" s="299"/>
      <c r="V16" s="299"/>
    </row>
    <row r="17" spans="2:22" ht="30" customHeight="1" x14ac:dyDescent="0.3">
      <c r="B17" s="299"/>
      <c r="C17" s="299"/>
      <c r="D17" s="299"/>
      <c r="E17" s="299"/>
      <c r="F17" s="299"/>
      <c r="G17" s="299"/>
      <c r="H17" s="299"/>
      <c r="I17" s="299"/>
      <c r="J17" s="299"/>
      <c r="K17" s="299"/>
      <c r="L17" s="299"/>
      <c r="M17" s="299"/>
      <c r="N17" s="299"/>
      <c r="O17" s="299"/>
      <c r="P17" s="299"/>
      <c r="Q17" s="299"/>
      <c r="R17" s="299"/>
      <c r="S17" s="299"/>
      <c r="T17" s="299"/>
      <c r="U17" s="299"/>
      <c r="V17" s="299"/>
    </row>
    <row r="18" spans="2:22" ht="30" customHeight="1" x14ac:dyDescent="0.3">
      <c r="B18" s="299"/>
      <c r="C18" s="299"/>
      <c r="D18" s="299"/>
      <c r="E18" s="299"/>
      <c r="F18" s="299"/>
      <c r="G18" s="299"/>
      <c r="H18" s="299"/>
      <c r="I18" s="299"/>
      <c r="J18" s="299"/>
      <c r="K18" s="299"/>
      <c r="L18" s="299"/>
      <c r="M18" s="299"/>
      <c r="N18" s="299"/>
      <c r="O18" s="299"/>
      <c r="P18" s="299"/>
      <c r="Q18" s="299"/>
      <c r="R18" s="299"/>
      <c r="S18" s="299"/>
      <c r="T18" s="299"/>
      <c r="U18" s="299"/>
      <c r="V18" s="299"/>
    </row>
    <row r="19" spans="2:22" ht="30" customHeight="1" x14ac:dyDescent="0.3">
      <c r="B19" s="299"/>
      <c r="C19" s="299"/>
      <c r="D19" s="299"/>
      <c r="E19" s="299"/>
      <c r="F19" s="299"/>
      <c r="G19" s="299"/>
      <c r="H19" s="299"/>
      <c r="I19" s="299"/>
      <c r="J19" s="299"/>
      <c r="K19" s="299"/>
      <c r="L19" s="299"/>
      <c r="M19" s="299"/>
      <c r="N19" s="299"/>
      <c r="O19" s="299"/>
      <c r="P19" s="299"/>
      <c r="Q19" s="299"/>
      <c r="R19" s="299"/>
      <c r="S19" s="299"/>
      <c r="T19" s="299"/>
      <c r="U19" s="299"/>
      <c r="V19" s="299"/>
    </row>
    <row r="20" spans="2:22" ht="30" customHeight="1" x14ac:dyDescent="0.3">
      <c r="B20" s="299"/>
      <c r="C20" s="299"/>
      <c r="D20" s="299"/>
      <c r="E20" s="299"/>
      <c r="F20" s="299"/>
      <c r="G20" s="299"/>
      <c r="H20" s="299"/>
      <c r="I20" s="299"/>
      <c r="J20" s="299"/>
      <c r="K20" s="299"/>
      <c r="L20" s="299"/>
      <c r="M20" s="299"/>
      <c r="N20" s="299"/>
      <c r="O20" s="299"/>
      <c r="P20" s="299"/>
      <c r="Q20" s="299"/>
      <c r="R20" s="299"/>
      <c r="S20" s="299"/>
      <c r="T20" s="299"/>
      <c r="U20" s="299"/>
      <c r="V20" s="299"/>
    </row>
    <row r="21" spans="2:22" ht="30" customHeight="1" x14ac:dyDescent="0.3">
      <c r="B21" s="299"/>
      <c r="C21" s="299"/>
      <c r="D21" s="299"/>
      <c r="E21" s="299"/>
      <c r="F21" s="299"/>
      <c r="G21" s="299"/>
      <c r="H21" s="299"/>
      <c r="I21" s="299"/>
      <c r="J21" s="299"/>
      <c r="K21" s="299"/>
      <c r="L21" s="299"/>
      <c r="M21" s="299"/>
      <c r="N21" s="299"/>
      <c r="O21" s="299"/>
      <c r="P21" s="299"/>
      <c r="Q21" s="299"/>
      <c r="R21" s="299"/>
      <c r="S21" s="299"/>
      <c r="T21" s="299"/>
      <c r="U21" s="299"/>
      <c r="V21" s="299"/>
    </row>
    <row r="22" spans="2:22" ht="30" customHeight="1" x14ac:dyDescent="0.3">
      <c r="B22" s="299"/>
      <c r="C22" s="299"/>
      <c r="D22" s="299"/>
      <c r="E22" s="299"/>
      <c r="F22" s="299"/>
      <c r="G22" s="299"/>
      <c r="H22" s="299"/>
      <c r="I22" s="299"/>
      <c r="J22" s="299"/>
      <c r="K22" s="299"/>
      <c r="L22" s="299"/>
      <c r="M22" s="299"/>
      <c r="N22" s="299"/>
      <c r="O22" s="299"/>
      <c r="P22" s="299"/>
      <c r="Q22" s="299"/>
      <c r="R22" s="299"/>
      <c r="S22" s="299"/>
      <c r="T22" s="299"/>
      <c r="U22" s="299"/>
      <c r="V22" s="299"/>
    </row>
    <row r="23" spans="2:22" ht="30" customHeight="1" x14ac:dyDescent="0.3">
      <c r="B23" s="299"/>
      <c r="C23" s="299"/>
      <c r="D23" s="299"/>
      <c r="E23" s="299"/>
      <c r="F23" s="299"/>
      <c r="G23" s="299"/>
      <c r="H23" s="299"/>
      <c r="I23" s="299"/>
      <c r="J23" s="299"/>
      <c r="K23" s="299"/>
      <c r="L23" s="299"/>
      <c r="M23" s="299"/>
      <c r="N23" s="299"/>
      <c r="O23" s="299"/>
      <c r="P23" s="299"/>
      <c r="Q23" s="299"/>
      <c r="R23" s="299"/>
      <c r="S23" s="299"/>
      <c r="T23" s="299"/>
      <c r="U23" s="299"/>
      <c r="V23" s="299"/>
    </row>
    <row r="24" spans="2:22" ht="30" customHeight="1" x14ac:dyDescent="0.3">
      <c r="B24" s="299"/>
      <c r="C24" s="299"/>
      <c r="D24" s="299"/>
      <c r="E24" s="299"/>
      <c r="F24" s="299"/>
      <c r="G24" s="299"/>
      <c r="H24" s="299"/>
      <c r="I24" s="299"/>
      <c r="J24" s="299"/>
      <c r="K24" s="299"/>
      <c r="L24" s="299"/>
      <c r="M24" s="299"/>
      <c r="N24" s="299"/>
      <c r="O24" s="299"/>
      <c r="P24" s="299"/>
      <c r="Q24" s="299"/>
      <c r="R24" s="299"/>
      <c r="S24" s="299"/>
      <c r="T24" s="299"/>
      <c r="U24" s="299"/>
      <c r="V24" s="299"/>
    </row>
    <row r="25" spans="2:22" ht="30" customHeight="1" x14ac:dyDescent="0.3">
      <c r="B25" s="299"/>
      <c r="C25" s="299"/>
      <c r="D25" s="299"/>
      <c r="E25" s="299"/>
      <c r="F25" s="299"/>
      <c r="G25" s="299"/>
      <c r="H25" s="299"/>
      <c r="I25" s="299"/>
      <c r="J25" s="299"/>
      <c r="K25" s="299"/>
      <c r="L25" s="299"/>
      <c r="M25" s="299"/>
      <c r="N25" s="299"/>
      <c r="O25" s="299"/>
      <c r="P25" s="299"/>
      <c r="Q25" s="299"/>
      <c r="R25" s="299"/>
      <c r="S25" s="299"/>
      <c r="T25" s="299"/>
      <c r="U25" s="299"/>
      <c r="V25" s="299"/>
    </row>
    <row r="26" spans="2:22" ht="30" customHeight="1" x14ac:dyDescent="0.3">
      <c r="B26" s="299"/>
      <c r="C26" s="299"/>
      <c r="D26" s="299"/>
      <c r="E26" s="299"/>
      <c r="F26" s="299"/>
      <c r="G26" s="299"/>
      <c r="H26" s="299"/>
      <c r="I26" s="299"/>
      <c r="J26" s="299"/>
      <c r="K26" s="299"/>
      <c r="L26" s="299"/>
      <c r="M26" s="299"/>
      <c r="N26" s="299"/>
      <c r="O26" s="299"/>
      <c r="P26" s="299"/>
      <c r="Q26" s="299"/>
      <c r="R26" s="299"/>
      <c r="S26" s="299"/>
      <c r="T26" s="299"/>
      <c r="U26" s="299"/>
      <c r="V26" s="299"/>
    </row>
    <row r="27" spans="2:22" ht="30" customHeight="1" x14ac:dyDescent="0.3">
      <c r="B27" s="299"/>
      <c r="C27" s="299"/>
      <c r="D27" s="299"/>
      <c r="E27" s="299"/>
      <c r="F27" s="299"/>
      <c r="G27" s="299"/>
      <c r="H27" s="299"/>
      <c r="I27" s="299"/>
      <c r="J27" s="299"/>
      <c r="K27" s="299"/>
      <c r="L27" s="299"/>
      <c r="M27" s="299"/>
      <c r="N27" s="299"/>
      <c r="O27" s="299"/>
      <c r="P27" s="299"/>
      <c r="Q27" s="299"/>
      <c r="R27" s="299"/>
      <c r="S27" s="299"/>
      <c r="T27" s="299"/>
      <c r="U27" s="299"/>
      <c r="V27" s="299"/>
    </row>
    <row r="28" spans="2:22" ht="30" customHeight="1" x14ac:dyDescent="0.3">
      <c r="B28" s="299"/>
      <c r="C28" s="299"/>
      <c r="D28" s="299"/>
      <c r="E28" s="299"/>
      <c r="F28" s="299"/>
      <c r="G28" s="299"/>
      <c r="H28" s="299"/>
      <c r="I28" s="299"/>
      <c r="J28" s="299"/>
      <c r="K28" s="299"/>
      <c r="L28" s="299"/>
      <c r="M28" s="299"/>
      <c r="N28" s="299"/>
      <c r="O28" s="299"/>
      <c r="P28" s="299"/>
      <c r="Q28" s="299"/>
      <c r="R28" s="299"/>
      <c r="S28" s="299"/>
      <c r="T28" s="299"/>
      <c r="U28" s="299"/>
      <c r="V28" s="299"/>
    </row>
    <row r="29" spans="2:22" ht="24.95" customHeight="1" x14ac:dyDescent="0.3">
      <c r="B29" s="299"/>
      <c r="C29" s="299"/>
      <c r="D29" s="299"/>
      <c r="E29" s="299"/>
      <c r="F29" s="299"/>
      <c r="G29" s="299"/>
      <c r="H29" s="299"/>
      <c r="I29" s="299"/>
      <c r="J29" s="299"/>
      <c r="K29" s="299"/>
      <c r="L29" s="299"/>
      <c r="M29" s="299"/>
      <c r="N29" s="299"/>
      <c r="O29" s="299"/>
      <c r="P29" s="299"/>
      <c r="Q29" s="299"/>
      <c r="R29" s="299"/>
      <c r="S29" s="299"/>
      <c r="T29" s="299"/>
      <c r="U29" s="299"/>
      <c r="V29" s="299"/>
    </row>
    <row r="30" spans="2:22" ht="24.95" customHeight="1" x14ac:dyDescent="0.3">
      <c r="B30" s="299"/>
      <c r="C30" s="299"/>
      <c r="D30" s="299"/>
      <c r="E30" s="299"/>
      <c r="F30" s="299"/>
      <c r="G30" s="299"/>
      <c r="H30" s="299"/>
      <c r="I30" s="299"/>
      <c r="J30" s="299"/>
      <c r="K30" s="299"/>
      <c r="L30" s="299"/>
      <c r="M30" s="299"/>
      <c r="N30" s="299"/>
      <c r="O30" s="299"/>
      <c r="P30" s="299"/>
      <c r="Q30" s="299"/>
      <c r="R30" s="299"/>
      <c r="S30" s="299"/>
      <c r="T30" s="299"/>
      <c r="U30" s="299"/>
      <c r="V30" s="299"/>
    </row>
    <row r="31" spans="2:22" ht="24.95" customHeight="1" x14ac:dyDescent="0.3">
      <c r="B31" s="299"/>
      <c r="C31" s="299"/>
      <c r="D31" s="299"/>
      <c r="E31" s="299"/>
      <c r="F31" s="299"/>
      <c r="G31" s="299"/>
      <c r="H31" s="299"/>
      <c r="I31" s="299"/>
      <c r="J31" s="299"/>
      <c r="K31" s="299"/>
      <c r="L31" s="299"/>
      <c r="M31" s="299"/>
      <c r="N31" s="299"/>
      <c r="O31" s="299"/>
      <c r="P31" s="299"/>
      <c r="Q31" s="299"/>
      <c r="R31" s="299"/>
      <c r="S31" s="299"/>
      <c r="T31" s="299"/>
      <c r="U31" s="299"/>
      <c r="V31" s="299"/>
    </row>
    <row r="32" spans="2:22" ht="30" customHeight="1" x14ac:dyDescent="0.3">
      <c r="B32" s="299"/>
      <c r="C32" s="299"/>
      <c r="D32" s="299"/>
      <c r="E32" s="299"/>
      <c r="F32" s="299"/>
      <c r="G32" s="299"/>
      <c r="H32" s="299"/>
      <c r="I32" s="299"/>
      <c r="J32" s="299"/>
      <c r="K32" s="299"/>
      <c r="L32" s="299"/>
      <c r="M32" s="299"/>
      <c r="N32" s="299"/>
      <c r="O32" s="299"/>
      <c r="P32" s="299"/>
      <c r="Q32" s="299"/>
      <c r="R32" s="299"/>
      <c r="S32" s="299"/>
      <c r="T32" s="299"/>
      <c r="U32" s="299"/>
      <c r="V32" s="299"/>
    </row>
    <row r="33" spans="2:22" ht="30" customHeight="1" x14ac:dyDescent="0.3">
      <c r="B33" s="299"/>
      <c r="C33" s="299"/>
      <c r="D33" s="299"/>
      <c r="E33" s="299"/>
      <c r="F33" s="299"/>
      <c r="G33" s="299"/>
      <c r="H33" s="299"/>
      <c r="I33" s="299"/>
      <c r="J33" s="299"/>
      <c r="K33" s="299"/>
      <c r="L33" s="299"/>
      <c r="M33" s="299"/>
      <c r="N33" s="299"/>
      <c r="O33" s="299"/>
      <c r="P33" s="299"/>
      <c r="Q33" s="299"/>
      <c r="R33" s="299"/>
      <c r="S33" s="299"/>
      <c r="T33" s="299"/>
      <c r="U33" s="299"/>
      <c r="V33" s="299"/>
    </row>
    <row r="34" spans="2:22" ht="30" customHeight="1" x14ac:dyDescent="0.3">
      <c r="B34" s="299"/>
      <c r="C34" s="299"/>
      <c r="D34" s="299"/>
      <c r="E34" s="299"/>
      <c r="F34" s="299"/>
      <c r="G34" s="299"/>
      <c r="H34" s="299"/>
      <c r="I34" s="299"/>
      <c r="J34" s="299"/>
      <c r="K34" s="299"/>
      <c r="L34" s="299"/>
      <c r="M34" s="299"/>
      <c r="N34" s="299"/>
      <c r="O34" s="299"/>
      <c r="P34" s="299"/>
      <c r="Q34" s="299"/>
      <c r="R34" s="299"/>
      <c r="S34" s="299"/>
      <c r="T34" s="299"/>
      <c r="U34" s="299"/>
      <c r="V34" s="299"/>
    </row>
    <row r="35" spans="2:22" ht="24.95" customHeight="1" x14ac:dyDescent="0.3"/>
    <row r="36" spans="2:22" ht="30" customHeight="1" x14ac:dyDescent="0.3">
      <c r="B36" s="455" t="s">
        <v>1117</v>
      </c>
      <c r="C36" s="422" t="s">
        <v>1118</v>
      </c>
      <c r="D36" s="422"/>
      <c r="E36" s="422"/>
      <c r="F36" s="422"/>
      <c r="G36" s="422"/>
      <c r="H36" s="422"/>
      <c r="I36" s="422"/>
      <c r="J36" s="422"/>
      <c r="K36" s="422"/>
      <c r="L36" s="422" t="s">
        <v>1095</v>
      </c>
      <c r="M36" s="422"/>
      <c r="N36" s="422"/>
      <c r="O36" s="422"/>
      <c r="P36" s="422"/>
      <c r="Q36" s="422"/>
      <c r="R36" s="423" t="s">
        <v>1119</v>
      </c>
      <c r="S36" s="424" t="s">
        <v>565</v>
      </c>
      <c r="T36" s="424"/>
      <c r="U36" s="424"/>
      <c r="V36" s="424"/>
    </row>
    <row r="37" spans="2:22" ht="30" customHeight="1" x14ac:dyDescent="0.3">
      <c r="B37" s="455"/>
      <c r="C37" s="388" t="s">
        <v>825</v>
      </c>
      <c r="D37" s="388"/>
      <c r="E37" s="388"/>
      <c r="F37" s="388" t="s">
        <v>826</v>
      </c>
      <c r="G37" s="388"/>
      <c r="H37" s="388"/>
      <c r="I37" s="388" t="s">
        <v>827</v>
      </c>
      <c r="J37" s="388"/>
      <c r="K37" s="388"/>
      <c r="L37" s="422"/>
      <c r="M37" s="422"/>
      <c r="N37" s="422"/>
      <c r="O37" s="422"/>
      <c r="P37" s="422"/>
      <c r="Q37" s="422"/>
      <c r="R37" s="423"/>
      <c r="S37" s="423"/>
      <c r="T37" s="424"/>
      <c r="U37" s="424"/>
      <c r="V37" s="424"/>
    </row>
    <row r="38" spans="2:22" ht="30" customHeight="1" x14ac:dyDescent="0.3">
      <c r="B38" s="4">
        <v>1</v>
      </c>
      <c r="C38" s="248" t="s">
        <v>1120</v>
      </c>
      <c r="D38" s="248"/>
      <c r="E38" s="248"/>
      <c r="F38" s="248" t="s">
        <v>1121</v>
      </c>
      <c r="G38" s="248"/>
      <c r="H38" s="248"/>
      <c r="I38" s="248"/>
      <c r="J38" s="248"/>
      <c r="K38" s="248"/>
      <c r="L38" s="247" t="s">
        <v>1122</v>
      </c>
      <c r="M38" s="247"/>
      <c r="N38" s="247"/>
      <c r="O38" s="247"/>
      <c r="P38" s="247"/>
      <c r="Q38" s="247"/>
      <c r="R38" s="5" t="s">
        <v>1123</v>
      </c>
      <c r="S38" s="313" t="s">
        <v>1124</v>
      </c>
      <c r="T38" s="313"/>
      <c r="U38" s="313"/>
      <c r="V38" s="313"/>
    </row>
    <row r="39" spans="2:22" ht="30" customHeight="1" x14ac:dyDescent="0.3">
      <c r="B39" s="4">
        <v>2</v>
      </c>
      <c r="C39" s="248"/>
      <c r="D39" s="248"/>
      <c r="E39" s="248"/>
      <c r="F39" s="248" t="s">
        <v>1125</v>
      </c>
      <c r="G39" s="248"/>
      <c r="H39" s="248"/>
      <c r="I39" s="248"/>
      <c r="J39" s="248"/>
      <c r="K39" s="248"/>
      <c r="L39" s="247" t="s">
        <v>1126</v>
      </c>
      <c r="M39" s="247"/>
      <c r="N39" s="247"/>
      <c r="O39" s="247"/>
      <c r="P39" s="247"/>
      <c r="Q39" s="247"/>
      <c r="R39" s="5" t="s">
        <v>1123</v>
      </c>
      <c r="S39" s="313" t="s">
        <v>1127</v>
      </c>
      <c r="T39" s="313"/>
      <c r="U39" s="313"/>
      <c r="V39" s="313"/>
    </row>
    <row r="40" spans="2:22" ht="30" customHeight="1" x14ac:dyDescent="0.3">
      <c r="B40" s="4">
        <v>3</v>
      </c>
      <c r="C40" s="248"/>
      <c r="D40" s="248"/>
      <c r="E40" s="248"/>
      <c r="F40" s="248" t="s">
        <v>1128</v>
      </c>
      <c r="G40" s="248"/>
      <c r="H40" s="248"/>
      <c r="I40" s="248"/>
      <c r="J40" s="248"/>
      <c r="K40" s="248"/>
      <c r="L40" s="247" t="s">
        <v>1129</v>
      </c>
      <c r="M40" s="247"/>
      <c r="N40" s="247"/>
      <c r="O40" s="247"/>
      <c r="P40" s="247"/>
      <c r="Q40" s="247"/>
      <c r="R40" s="5" t="s">
        <v>1123</v>
      </c>
      <c r="S40" s="313" t="s">
        <v>1130</v>
      </c>
      <c r="T40" s="313"/>
      <c r="U40" s="313"/>
      <c r="V40" s="313"/>
    </row>
    <row r="41" spans="2:22" ht="30" customHeight="1" x14ac:dyDescent="0.3">
      <c r="B41" s="4">
        <v>4</v>
      </c>
      <c r="C41" s="248"/>
      <c r="D41" s="248"/>
      <c r="E41" s="248"/>
      <c r="F41" s="248" t="s">
        <v>1131</v>
      </c>
      <c r="G41" s="248"/>
      <c r="H41" s="248"/>
      <c r="I41" s="248"/>
      <c r="J41" s="248"/>
      <c r="K41" s="248"/>
      <c r="L41" s="247" t="s">
        <v>1132</v>
      </c>
      <c r="M41" s="247"/>
      <c r="N41" s="247"/>
      <c r="O41" s="247"/>
      <c r="P41" s="247"/>
      <c r="Q41" s="247"/>
      <c r="R41" s="5" t="s">
        <v>1123</v>
      </c>
      <c r="S41" s="313" t="s">
        <v>1133</v>
      </c>
      <c r="T41" s="313"/>
      <c r="U41" s="313"/>
      <c r="V41" s="313"/>
    </row>
    <row r="42" spans="2:22" ht="30" customHeight="1" x14ac:dyDescent="0.3">
      <c r="B42" s="4">
        <v>5</v>
      </c>
      <c r="C42" s="248"/>
      <c r="D42" s="248"/>
      <c r="E42" s="248"/>
      <c r="F42" s="248" t="s">
        <v>1134</v>
      </c>
      <c r="G42" s="248"/>
      <c r="H42" s="248"/>
      <c r="I42" s="248"/>
      <c r="J42" s="248"/>
      <c r="K42" s="248"/>
      <c r="L42" s="247" t="s">
        <v>1135</v>
      </c>
      <c r="M42" s="247"/>
      <c r="N42" s="247"/>
      <c r="O42" s="247"/>
      <c r="P42" s="247"/>
      <c r="Q42" s="247"/>
      <c r="R42" s="5" t="s">
        <v>1136</v>
      </c>
      <c r="S42" s="313" t="s">
        <v>1137</v>
      </c>
      <c r="T42" s="313"/>
      <c r="U42" s="313"/>
      <c r="V42" s="313"/>
    </row>
    <row r="43" spans="2:22" ht="30" customHeight="1" x14ac:dyDescent="0.3">
      <c r="B43" s="4">
        <v>6</v>
      </c>
      <c r="C43" s="248" t="s">
        <v>1138</v>
      </c>
      <c r="D43" s="248"/>
      <c r="E43" s="248"/>
      <c r="F43" s="248" t="s">
        <v>1138</v>
      </c>
      <c r="G43" s="248"/>
      <c r="H43" s="248"/>
      <c r="I43" s="248"/>
      <c r="J43" s="248"/>
      <c r="K43" s="248"/>
      <c r="L43" s="247" t="s">
        <v>1139</v>
      </c>
      <c r="M43" s="247"/>
      <c r="N43" s="247"/>
      <c r="O43" s="247"/>
      <c r="P43" s="247"/>
      <c r="Q43" s="247"/>
      <c r="R43" s="5" t="s">
        <v>1136</v>
      </c>
      <c r="S43" s="313" t="s">
        <v>1140</v>
      </c>
      <c r="T43" s="313"/>
      <c r="U43" s="313"/>
      <c r="V43" s="313"/>
    </row>
    <row r="44" spans="2:22" ht="30" customHeight="1" x14ac:dyDescent="0.3">
      <c r="B44" s="4">
        <v>7</v>
      </c>
      <c r="C44" s="245" t="s">
        <v>1141</v>
      </c>
      <c r="D44" s="245"/>
      <c r="E44" s="245"/>
      <c r="F44" s="248" t="s">
        <v>1142</v>
      </c>
      <c r="G44" s="248"/>
      <c r="H44" s="248"/>
      <c r="I44" s="248"/>
      <c r="J44" s="248"/>
      <c r="K44" s="248"/>
      <c r="L44" s="247" t="s">
        <v>1143</v>
      </c>
      <c r="M44" s="247"/>
      <c r="N44" s="247"/>
      <c r="O44" s="247"/>
      <c r="P44" s="247"/>
      <c r="Q44" s="247"/>
      <c r="R44" s="5" t="s">
        <v>1136</v>
      </c>
      <c r="S44" s="313" t="s">
        <v>1144</v>
      </c>
      <c r="T44" s="313"/>
      <c r="U44" s="313"/>
      <c r="V44" s="313"/>
    </row>
    <row r="45" spans="2:22" ht="30" customHeight="1" x14ac:dyDescent="0.3">
      <c r="B45" s="4">
        <v>8</v>
      </c>
      <c r="C45" s="245"/>
      <c r="D45" s="245"/>
      <c r="E45" s="245"/>
      <c r="F45" s="248" t="s">
        <v>1145</v>
      </c>
      <c r="G45" s="248"/>
      <c r="H45" s="248"/>
      <c r="I45" s="248"/>
      <c r="J45" s="248"/>
      <c r="K45" s="248"/>
      <c r="L45" s="247" t="s">
        <v>1146</v>
      </c>
      <c r="M45" s="247"/>
      <c r="N45" s="247"/>
      <c r="O45" s="247"/>
      <c r="P45" s="247"/>
      <c r="Q45" s="247"/>
      <c r="R45" s="5" t="s">
        <v>1136</v>
      </c>
      <c r="S45" s="313" t="s">
        <v>1147</v>
      </c>
      <c r="T45" s="313"/>
      <c r="U45" s="313"/>
      <c r="V45" s="313"/>
    </row>
    <row r="46" spans="2:22" ht="30" customHeight="1" x14ac:dyDescent="0.3">
      <c r="B46" s="4">
        <v>9</v>
      </c>
      <c r="C46" s="245"/>
      <c r="D46" s="245"/>
      <c r="E46" s="245"/>
      <c r="F46" s="248" t="s">
        <v>1148</v>
      </c>
      <c r="G46" s="248"/>
      <c r="H46" s="248"/>
      <c r="I46" s="248"/>
      <c r="J46" s="248"/>
      <c r="K46" s="248"/>
      <c r="L46" s="247" t="s">
        <v>1149</v>
      </c>
      <c r="M46" s="247"/>
      <c r="N46" s="247"/>
      <c r="O46" s="247"/>
      <c r="P46" s="247"/>
      <c r="Q46" s="247"/>
      <c r="R46" s="5" t="s">
        <v>1136</v>
      </c>
      <c r="S46" s="313" t="s">
        <v>1150</v>
      </c>
      <c r="T46" s="313"/>
      <c r="U46" s="313"/>
      <c r="V46" s="313"/>
    </row>
    <row r="47" spans="2:22" ht="30" customHeight="1" x14ac:dyDescent="0.3">
      <c r="B47" s="28">
        <v>10</v>
      </c>
      <c r="C47" s="245"/>
      <c r="D47" s="245"/>
      <c r="E47" s="245"/>
      <c r="F47" s="245" t="s">
        <v>1151</v>
      </c>
      <c r="G47" s="245"/>
      <c r="H47" s="245"/>
      <c r="I47" s="245"/>
      <c r="J47" s="245"/>
      <c r="K47" s="245"/>
      <c r="L47" s="244" t="s">
        <v>1152</v>
      </c>
      <c r="M47" s="244"/>
      <c r="N47" s="244"/>
      <c r="O47" s="244"/>
      <c r="P47" s="244"/>
      <c r="Q47" s="244"/>
      <c r="R47" s="8" t="s">
        <v>1136</v>
      </c>
      <c r="S47" s="350" t="s">
        <v>1153</v>
      </c>
      <c r="T47" s="350"/>
      <c r="U47" s="350"/>
      <c r="V47" s="350"/>
    </row>
    <row r="48" spans="2:22" ht="30" customHeight="1" x14ac:dyDescent="0.3"/>
    <row r="49" ht="30" customHeight="1" x14ac:dyDescent="0.3"/>
    <row r="50" ht="30" customHeight="1" x14ac:dyDescent="0.3"/>
    <row r="51" ht="30" customHeight="1" x14ac:dyDescent="0.3"/>
    <row r="52" ht="30" customHeight="1" x14ac:dyDescent="0.3"/>
    <row r="53" ht="30" customHeight="1" x14ac:dyDescent="0.3"/>
    <row r="54" ht="24.95" customHeight="1" x14ac:dyDescent="0.3"/>
    <row r="55" ht="24.95" customHeight="1" x14ac:dyDescent="0.3"/>
    <row r="56" ht="24.95" customHeight="1" x14ac:dyDescent="0.3"/>
    <row r="57" ht="24.95" customHeight="1" x14ac:dyDescent="0.3"/>
    <row r="58" ht="24.95" customHeight="1" x14ac:dyDescent="0.3"/>
  </sheetData>
  <mergeCells count="64">
    <mergeCell ref="B2:D2"/>
    <mergeCell ref="E2:L2"/>
    <mergeCell ref="M2:O2"/>
    <mergeCell ref="P2:V2"/>
    <mergeCell ref="B3:D3"/>
    <mergeCell ref="E3:L3"/>
    <mergeCell ref="M3:O3"/>
    <mergeCell ref="P3:V3"/>
    <mergeCell ref="B4:V4"/>
    <mergeCell ref="B5:V8"/>
    <mergeCell ref="B10:V11"/>
    <mergeCell ref="B13:V13"/>
    <mergeCell ref="B14:V34"/>
    <mergeCell ref="B36:B37"/>
    <mergeCell ref="C36:K36"/>
    <mergeCell ref="L36:Q37"/>
    <mergeCell ref="R36:R37"/>
    <mergeCell ref="S36:V37"/>
    <mergeCell ref="C37:E37"/>
    <mergeCell ref="F37:H37"/>
    <mergeCell ref="I37:K37"/>
    <mergeCell ref="C38:E42"/>
    <mergeCell ref="F38:H38"/>
    <mergeCell ref="I38:K38"/>
    <mergeCell ref="L38:Q38"/>
    <mergeCell ref="S38:V38"/>
    <mergeCell ref="F39:H39"/>
    <mergeCell ref="I39:K39"/>
    <mergeCell ref="L39:Q39"/>
    <mergeCell ref="S39:V39"/>
    <mergeCell ref="F40:H40"/>
    <mergeCell ref="I40:K40"/>
    <mergeCell ref="L40:Q40"/>
    <mergeCell ref="S40:V40"/>
    <mergeCell ref="F41:H41"/>
    <mergeCell ref="I41:K41"/>
    <mergeCell ref="L41:Q41"/>
    <mergeCell ref="S43:V43"/>
    <mergeCell ref="S41:V41"/>
    <mergeCell ref="F42:H42"/>
    <mergeCell ref="I42:K42"/>
    <mergeCell ref="L42:Q42"/>
    <mergeCell ref="S42:V42"/>
    <mergeCell ref="L47:Q47"/>
    <mergeCell ref="C43:E43"/>
    <mergeCell ref="F43:H43"/>
    <mergeCell ref="I43:K43"/>
    <mergeCell ref="L43:Q43"/>
    <mergeCell ref="S47:V47"/>
    <mergeCell ref="C44:E47"/>
    <mergeCell ref="F44:H44"/>
    <mergeCell ref="I44:K44"/>
    <mergeCell ref="L44:Q44"/>
    <mergeCell ref="S44:V44"/>
    <mergeCell ref="F45:H45"/>
    <mergeCell ref="I45:K45"/>
    <mergeCell ref="L45:Q45"/>
    <mergeCell ref="S45:V45"/>
    <mergeCell ref="F46:H46"/>
    <mergeCell ref="I46:K46"/>
    <mergeCell ref="L46:Q46"/>
    <mergeCell ref="S46:V46"/>
    <mergeCell ref="F47:H47"/>
    <mergeCell ref="I47:K47"/>
  </mergeCells>
  <phoneticPr fontId="45" type="noConversion"/>
  <pageMargins left="0.7" right="0.7" top="0.75" bottom="0.75" header="0.51180555555555496" footer="0.51180555555555496"/>
  <pageSetup paperSize="9" firstPageNumber="0"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H65"/>
  <sheetViews>
    <sheetView topLeftCell="A4" zoomScale="85" zoomScaleNormal="85" workbookViewId="0">
      <selection activeCell="B4" sqref="B4"/>
    </sheetView>
  </sheetViews>
  <sheetFormatPr defaultRowHeight="16.5" x14ac:dyDescent="0.3"/>
  <cols>
    <col min="1" max="1" width="3.375" customWidth="1"/>
    <col min="2" max="4" width="9" customWidth="1"/>
    <col min="5" max="5" width="45.875" customWidth="1"/>
    <col min="6" max="12" width="9" customWidth="1"/>
    <col min="13" max="13" width="18.375" customWidth="1"/>
    <col min="14" max="15" width="17.875" customWidth="1"/>
    <col min="16" max="16" width="12.125" customWidth="1"/>
    <col min="17" max="17" width="12" customWidth="1"/>
    <col min="18" max="19" width="9" customWidth="1"/>
    <col min="20" max="20" width="12.625" customWidth="1"/>
    <col min="21" max="22" width="11.625" customWidth="1"/>
    <col min="23" max="1025" width="9" customWidth="1"/>
  </cols>
  <sheetData>
    <row r="2" spans="2:34" ht="30" customHeight="1" x14ac:dyDescent="0.3">
      <c r="B2" s="255" t="s">
        <v>1154</v>
      </c>
      <c r="C2" s="255"/>
      <c r="D2" s="255"/>
      <c r="E2" s="255"/>
      <c r="F2" s="255"/>
      <c r="G2" s="255"/>
      <c r="H2" s="255"/>
      <c r="I2" s="255"/>
      <c r="J2" s="255"/>
      <c r="K2" s="255"/>
      <c r="L2" s="255"/>
      <c r="M2" s="255"/>
      <c r="N2" s="255"/>
      <c r="O2" s="255"/>
      <c r="P2" s="255"/>
      <c r="Q2" s="255"/>
      <c r="R2" s="255"/>
      <c r="S2" s="255"/>
      <c r="T2" s="255"/>
      <c r="U2" s="255"/>
      <c r="V2" s="255"/>
      <c r="W2" s="255"/>
      <c r="X2" s="255"/>
      <c r="Y2" s="255"/>
      <c r="Z2" s="255"/>
      <c r="AA2" s="255"/>
      <c r="AB2" s="255"/>
      <c r="AC2" s="255"/>
      <c r="AD2" s="255"/>
      <c r="AE2" s="255"/>
      <c r="AF2" s="255"/>
      <c r="AG2" s="255"/>
      <c r="AH2" s="255"/>
    </row>
    <row r="3" spans="2:34" ht="30" customHeight="1" x14ac:dyDescent="0.3">
      <c r="B3" s="255"/>
      <c r="C3" s="255"/>
      <c r="D3" s="255"/>
      <c r="E3" s="255"/>
      <c r="F3" s="255"/>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5"/>
      <c r="AH3" s="255"/>
    </row>
    <row r="4" spans="2:34" ht="24.95" customHeight="1" x14ac:dyDescent="0.3"/>
    <row r="5" spans="2:34" ht="39.950000000000003" customHeight="1" x14ac:dyDescent="0.3">
      <c r="B5" s="236" t="s">
        <v>0</v>
      </c>
      <c r="C5" s="236"/>
      <c r="D5" s="236"/>
      <c r="E5" s="237" t="str">
        <f>'00_팀프로젝트_큰틀'!E2</f>
        <v>[디지털컨버전스] ICT융합 풀스택(자바/스프링) 개발자 양성과정A</v>
      </c>
      <c r="F5" s="237"/>
      <c r="G5" s="237"/>
      <c r="H5" s="237"/>
      <c r="I5" s="237"/>
      <c r="J5" s="237"/>
      <c r="K5" s="237"/>
      <c r="L5" s="237"/>
      <c r="M5" s="2" t="s">
        <v>2</v>
      </c>
      <c r="N5" s="374" t="str">
        <f>'00_팀프로젝트_큰틀'!P2</f>
        <v>홍길순</v>
      </c>
      <c r="O5" s="374"/>
      <c r="P5" s="374"/>
      <c r="Q5" s="374"/>
      <c r="T5" s="459" t="s">
        <v>1155</v>
      </c>
      <c r="U5" s="459"/>
      <c r="V5" s="459"/>
      <c r="W5" s="459"/>
      <c r="X5" s="459"/>
      <c r="Y5" s="459"/>
      <c r="Z5" s="459"/>
      <c r="AA5" s="459"/>
      <c r="AB5" s="459"/>
      <c r="AC5" s="459"/>
      <c r="AD5" s="459"/>
      <c r="AE5" s="459"/>
      <c r="AF5" s="459"/>
      <c r="AG5" s="459"/>
      <c r="AH5" s="459"/>
    </row>
    <row r="6" spans="2:34" ht="39.950000000000003" customHeight="1" x14ac:dyDescent="0.3">
      <c r="B6" s="240" t="s">
        <v>4</v>
      </c>
      <c r="C6" s="240"/>
      <c r="D6" s="240"/>
      <c r="E6" s="241" t="str">
        <f>'00_팀프로젝트_큰틀'!E3</f>
        <v>2024-02-19~2024-08-01</v>
      </c>
      <c r="F6" s="241"/>
      <c r="G6" s="241"/>
      <c r="H6" s="241"/>
      <c r="I6" s="241"/>
      <c r="J6" s="241"/>
      <c r="K6" s="241"/>
      <c r="L6" s="241"/>
      <c r="M6" s="1" t="s">
        <v>6</v>
      </c>
      <c r="N6" s="375">
        <v>44806</v>
      </c>
      <c r="O6" s="375"/>
      <c r="P6" s="375"/>
      <c r="Q6" s="375"/>
      <c r="T6" s="459"/>
      <c r="U6" s="459"/>
      <c r="V6" s="459"/>
      <c r="W6" s="459"/>
      <c r="X6" s="459"/>
      <c r="Y6" s="459"/>
      <c r="Z6" s="459"/>
      <c r="AA6" s="459"/>
      <c r="AB6" s="459"/>
      <c r="AC6" s="459"/>
      <c r="AD6" s="459"/>
      <c r="AE6" s="459"/>
      <c r="AF6" s="459"/>
      <c r="AG6" s="459"/>
      <c r="AH6" s="459"/>
    </row>
    <row r="7" spans="2:34" ht="39.950000000000003" customHeight="1" x14ac:dyDescent="0.3">
      <c r="B7" s="240" t="s">
        <v>63</v>
      </c>
      <c r="C7" s="240"/>
      <c r="D7" s="240"/>
      <c r="E7" s="427" t="s">
        <v>1156</v>
      </c>
      <c r="F7" s="427"/>
      <c r="G7" s="427"/>
      <c r="H7" s="427"/>
      <c r="I7" s="427"/>
      <c r="J7" s="427"/>
      <c r="K7" s="427"/>
      <c r="L7" s="427"/>
      <c r="M7" s="427"/>
      <c r="N7" s="427"/>
      <c r="O7" s="427"/>
      <c r="P7" s="427"/>
      <c r="Q7" s="427"/>
      <c r="T7" s="459"/>
      <c r="U7" s="459"/>
      <c r="V7" s="459"/>
      <c r="W7" s="459"/>
      <c r="X7" s="459"/>
      <c r="Y7" s="459"/>
      <c r="Z7" s="459"/>
      <c r="AA7" s="459"/>
      <c r="AB7" s="459"/>
      <c r="AC7" s="459"/>
      <c r="AD7" s="459"/>
      <c r="AE7" s="459"/>
      <c r="AF7" s="459"/>
      <c r="AG7" s="459"/>
      <c r="AH7" s="459"/>
    </row>
    <row r="8" spans="2:34" ht="39.950000000000003" customHeight="1" x14ac:dyDescent="0.3">
      <c r="B8" s="361" t="s">
        <v>61</v>
      </c>
      <c r="C8" s="361"/>
      <c r="D8" s="361"/>
      <c r="E8" s="361"/>
      <c r="F8" s="361"/>
      <c r="G8" s="361"/>
      <c r="H8" s="361"/>
      <c r="I8" s="361"/>
      <c r="J8" s="361"/>
      <c r="K8" s="361"/>
      <c r="L8" s="361"/>
      <c r="M8" s="361"/>
      <c r="N8" s="361"/>
      <c r="O8" s="361"/>
      <c r="P8" s="361"/>
      <c r="Q8" s="361"/>
      <c r="W8" s="66"/>
      <c r="X8" s="66"/>
      <c r="Y8" s="66"/>
      <c r="Z8" s="66"/>
      <c r="AA8" s="66"/>
      <c r="AB8" s="66"/>
      <c r="AC8" s="66"/>
      <c r="AD8" s="66"/>
      <c r="AE8" s="66"/>
      <c r="AF8" s="66"/>
      <c r="AG8" s="66"/>
      <c r="AH8" s="66"/>
    </row>
    <row r="9" spans="2:34" ht="39.950000000000003" customHeight="1" x14ac:dyDescent="0.3">
      <c r="B9" s="390" t="s">
        <v>1157</v>
      </c>
      <c r="C9" s="390"/>
      <c r="D9" s="390"/>
      <c r="E9" s="390"/>
      <c r="F9" s="390"/>
      <c r="G9" s="390"/>
      <c r="H9" s="390"/>
      <c r="I9" s="390"/>
      <c r="J9" s="390"/>
      <c r="K9" s="390"/>
      <c r="L9" s="390"/>
      <c r="M9" s="390"/>
      <c r="N9" s="390"/>
      <c r="O9" s="390"/>
      <c r="P9" s="390"/>
      <c r="Q9" s="390"/>
      <c r="W9" s="66"/>
      <c r="X9" s="66"/>
      <c r="Y9" s="66"/>
      <c r="Z9" s="66"/>
      <c r="AA9" s="66"/>
      <c r="AB9" s="66"/>
      <c r="AC9" s="66"/>
      <c r="AD9" s="66"/>
      <c r="AE9" s="66"/>
      <c r="AF9" s="66"/>
      <c r="AG9" s="66"/>
      <c r="AH9" s="66"/>
    </row>
    <row r="10" spans="2:34" ht="39.950000000000003" customHeight="1" x14ac:dyDescent="0.3">
      <c r="B10" s="390"/>
      <c r="C10" s="390"/>
      <c r="D10" s="390"/>
      <c r="E10" s="390"/>
      <c r="F10" s="390"/>
      <c r="G10" s="390"/>
      <c r="H10" s="390"/>
      <c r="I10" s="390"/>
      <c r="J10" s="390"/>
      <c r="K10" s="390"/>
      <c r="L10" s="390"/>
      <c r="M10" s="390"/>
      <c r="N10" s="390"/>
      <c r="O10" s="390"/>
      <c r="P10" s="390"/>
      <c r="Q10" s="390"/>
      <c r="W10" s="66"/>
      <c r="X10" s="66"/>
      <c r="Y10" s="66"/>
      <c r="Z10" s="66"/>
      <c r="AA10" s="66"/>
      <c r="AB10" s="66"/>
      <c r="AC10" s="66"/>
      <c r="AD10" s="66"/>
      <c r="AE10" s="66"/>
      <c r="AF10" s="66"/>
      <c r="AG10" s="66"/>
      <c r="AH10" s="66"/>
    </row>
    <row r="11" spans="2:34" ht="39.950000000000003" customHeight="1" x14ac:dyDescent="0.3">
      <c r="B11" s="390"/>
      <c r="C11" s="390"/>
      <c r="D11" s="390"/>
      <c r="E11" s="390"/>
      <c r="F11" s="390"/>
      <c r="G11" s="390"/>
      <c r="H11" s="390"/>
      <c r="I11" s="390"/>
      <c r="J11" s="390"/>
      <c r="K11" s="390"/>
      <c r="L11" s="390"/>
      <c r="M11" s="390"/>
      <c r="N11" s="390"/>
      <c r="O11" s="390"/>
      <c r="P11" s="390"/>
      <c r="Q11" s="390"/>
      <c r="W11" s="66"/>
      <c r="X11" s="66"/>
      <c r="Y11" s="66"/>
      <c r="Z11" s="66"/>
      <c r="AA11" s="66"/>
      <c r="AB11" s="66"/>
      <c r="AC11" s="66"/>
      <c r="AD11" s="66"/>
      <c r="AE11" s="66"/>
      <c r="AF11" s="66"/>
      <c r="AG11" s="66"/>
      <c r="AH11" s="66"/>
    </row>
    <row r="12" spans="2:34" ht="39.950000000000003" customHeight="1" x14ac:dyDescent="0.3">
      <c r="B12" s="390"/>
      <c r="C12" s="390"/>
      <c r="D12" s="390"/>
      <c r="E12" s="390"/>
      <c r="F12" s="390"/>
      <c r="G12" s="390"/>
      <c r="H12" s="390"/>
      <c r="I12" s="390"/>
      <c r="J12" s="390"/>
      <c r="K12" s="390"/>
      <c r="L12" s="390"/>
      <c r="M12" s="390"/>
      <c r="N12" s="390"/>
      <c r="O12" s="390"/>
      <c r="P12" s="390"/>
      <c r="Q12" s="390"/>
      <c r="W12" s="66"/>
      <c r="X12" s="66"/>
      <c r="Y12" s="66"/>
      <c r="Z12" s="66"/>
      <c r="AA12" s="66"/>
      <c r="AB12" s="66"/>
      <c r="AC12" s="66"/>
      <c r="AD12" s="66"/>
      <c r="AE12" s="66"/>
      <c r="AF12" s="66"/>
      <c r="AG12" s="66"/>
      <c r="AH12" s="66"/>
    </row>
    <row r="14" spans="2:34" ht="30" customHeight="1" x14ac:dyDescent="0.3">
      <c r="B14" s="455" t="s">
        <v>1117</v>
      </c>
      <c r="C14" s="422" t="s">
        <v>1118</v>
      </c>
      <c r="D14" s="422"/>
      <c r="E14" s="422"/>
      <c r="F14" s="423" t="s">
        <v>1158</v>
      </c>
      <c r="G14" s="423"/>
      <c r="H14" s="422" t="s">
        <v>1159</v>
      </c>
      <c r="I14" s="422"/>
      <c r="J14" s="422"/>
      <c r="K14" s="422"/>
      <c r="L14" s="422"/>
      <c r="M14" s="424" t="s">
        <v>1160</v>
      </c>
      <c r="N14" s="424"/>
      <c r="O14" s="424"/>
      <c r="P14" s="424"/>
      <c r="Q14" s="424"/>
      <c r="T14" s="67"/>
      <c r="U14" s="68"/>
      <c r="V14" s="68"/>
      <c r="W14" s="68"/>
      <c r="X14" s="68"/>
      <c r="Y14" s="68"/>
      <c r="Z14" s="68"/>
      <c r="AA14" s="68"/>
      <c r="AB14" s="68"/>
      <c r="AC14" s="68"/>
      <c r="AD14" s="68"/>
      <c r="AE14" s="68"/>
      <c r="AF14" s="68"/>
      <c r="AG14" s="68"/>
      <c r="AH14" s="69"/>
    </row>
    <row r="15" spans="2:34" ht="30" customHeight="1" x14ac:dyDescent="0.3">
      <c r="B15" s="455"/>
      <c r="C15" s="388" t="s">
        <v>1161</v>
      </c>
      <c r="D15" s="388"/>
      <c r="E15" s="33" t="s">
        <v>1162</v>
      </c>
      <c r="F15" s="423"/>
      <c r="G15" s="423"/>
      <c r="H15" s="422"/>
      <c r="I15" s="422"/>
      <c r="J15" s="422"/>
      <c r="K15" s="422"/>
      <c r="L15" s="422"/>
      <c r="M15" s="70" t="s">
        <v>1163</v>
      </c>
      <c r="N15" s="70" t="s">
        <v>1164</v>
      </c>
      <c r="O15" s="70" t="s">
        <v>1165</v>
      </c>
      <c r="P15" s="71" t="s">
        <v>1166</v>
      </c>
      <c r="Q15" s="72" t="s">
        <v>1167</v>
      </c>
      <c r="T15" s="73"/>
      <c r="U15" s="74"/>
      <c r="V15" s="74"/>
      <c r="W15" s="74"/>
      <c r="X15" s="74"/>
      <c r="Y15" s="74"/>
      <c r="Z15" s="74"/>
      <c r="AA15" s="74"/>
      <c r="AB15" s="74"/>
      <c r="AC15" s="74"/>
      <c r="AD15" s="74"/>
      <c r="AE15" s="74"/>
      <c r="AF15" s="74"/>
      <c r="AG15" s="74"/>
      <c r="AH15" s="75"/>
    </row>
    <row r="16" spans="2:34" ht="30" customHeight="1" x14ac:dyDescent="0.3">
      <c r="B16" s="4">
        <v>1</v>
      </c>
      <c r="C16" s="248" t="s">
        <v>1120</v>
      </c>
      <c r="D16" s="248"/>
      <c r="E16" s="5" t="s">
        <v>1121</v>
      </c>
      <c r="F16" s="248" t="s">
        <v>1168</v>
      </c>
      <c r="G16" s="248"/>
      <c r="H16" s="248"/>
      <c r="I16" s="248"/>
      <c r="J16" s="248"/>
      <c r="K16" s="248"/>
      <c r="L16" s="248"/>
      <c r="M16" s="21">
        <v>44705</v>
      </c>
      <c r="N16" s="21">
        <v>44722</v>
      </c>
      <c r="O16" s="5">
        <f t="shared" ref="O16:O28" si="0">(N16-M16)+1</f>
        <v>18</v>
      </c>
      <c r="P16" s="22">
        <v>1</v>
      </c>
      <c r="Q16" s="6">
        <f t="shared" ref="Q16:Q28" si="1">O16*P16</f>
        <v>18</v>
      </c>
      <c r="T16" s="43"/>
      <c r="U16" s="54"/>
      <c r="V16" s="54"/>
      <c r="W16" s="54"/>
      <c r="X16" s="54"/>
      <c r="Y16" s="54"/>
      <c r="Z16" s="54"/>
      <c r="AA16" s="54"/>
      <c r="AB16" s="54"/>
      <c r="AC16" s="54"/>
      <c r="AD16" s="54"/>
      <c r="AE16" s="54"/>
      <c r="AF16" s="54"/>
      <c r="AG16" s="54"/>
      <c r="AH16" s="76"/>
    </row>
    <row r="17" spans="2:34" ht="30" customHeight="1" x14ac:dyDescent="0.3">
      <c r="B17" s="4">
        <v>2</v>
      </c>
      <c r="C17" s="248"/>
      <c r="D17" s="248"/>
      <c r="E17" s="5" t="s">
        <v>1125</v>
      </c>
      <c r="F17" s="248" t="s">
        <v>1169</v>
      </c>
      <c r="G17" s="248"/>
      <c r="H17" s="248"/>
      <c r="I17" s="248"/>
      <c r="J17" s="248"/>
      <c r="K17" s="248"/>
      <c r="L17" s="248"/>
      <c r="M17" s="21">
        <v>44705</v>
      </c>
      <c r="N17" s="21">
        <v>44723</v>
      </c>
      <c r="O17" s="5">
        <f t="shared" si="0"/>
        <v>19</v>
      </c>
      <c r="P17" s="22">
        <v>1</v>
      </c>
      <c r="Q17" s="6">
        <f t="shared" si="1"/>
        <v>19</v>
      </c>
      <c r="T17" s="43"/>
      <c r="U17" s="54"/>
      <c r="V17" s="54"/>
      <c r="W17" s="54"/>
      <c r="X17" s="54"/>
      <c r="Y17" s="54"/>
      <c r="Z17" s="54"/>
      <c r="AA17" s="54"/>
      <c r="AB17" s="54"/>
      <c r="AC17" s="54"/>
      <c r="AD17" s="54"/>
      <c r="AE17" s="54"/>
      <c r="AF17" s="54"/>
      <c r="AG17" s="54"/>
      <c r="AH17" s="76"/>
    </row>
    <row r="18" spans="2:34" ht="30" customHeight="1" x14ac:dyDescent="0.3">
      <c r="B18" s="4">
        <v>3</v>
      </c>
      <c r="C18" s="248"/>
      <c r="D18" s="248"/>
      <c r="E18" s="5" t="s">
        <v>1128</v>
      </c>
      <c r="F18" s="248" t="s">
        <v>1170</v>
      </c>
      <c r="G18" s="248"/>
      <c r="H18" s="248"/>
      <c r="I18" s="248"/>
      <c r="J18" s="248"/>
      <c r="K18" s="248"/>
      <c r="L18" s="248"/>
      <c r="M18" s="21">
        <v>44706</v>
      </c>
      <c r="N18" s="21">
        <v>44724</v>
      </c>
      <c r="O18" s="5">
        <f t="shared" si="0"/>
        <v>19</v>
      </c>
      <c r="P18" s="22">
        <v>0.5</v>
      </c>
      <c r="Q18" s="6">
        <f t="shared" si="1"/>
        <v>9.5</v>
      </c>
      <c r="T18" s="43"/>
      <c r="U18" s="54"/>
      <c r="V18" s="54"/>
      <c r="W18" s="54"/>
      <c r="X18" s="54"/>
      <c r="Y18" s="54"/>
      <c r="Z18" s="54"/>
      <c r="AA18" s="54"/>
      <c r="AB18" s="54"/>
      <c r="AC18" s="54"/>
      <c r="AD18" s="54"/>
      <c r="AE18" s="54"/>
      <c r="AF18" s="54"/>
      <c r="AG18" s="54"/>
      <c r="AH18" s="76"/>
    </row>
    <row r="19" spans="2:34" ht="30" customHeight="1" x14ac:dyDescent="0.3">
      <c r="B19" s="4">
        <v>4</v>
      </c>
      <c r="C19" s="248"/>
      <c r="D19" s="248"/>
      <c r="E19" s="5" t="s">
        <v>1131</v>
      </c>
      <c r="F19" s="248" t="s">
        <v>1168</v>
      </c>
      <c r="G19" s="248"/>
      <c r="H19" s="248"/>
      <c r="I19" s="248"/>
      <c r="J19" s="248"/>
      <c r="K19" s="248"/>
      <c r="L19" s="248"/>
      <c r="M19" s="21">
        <v>44707</v>
      </c>
      <c r="N19" s="21">
        <v>44725</v>
      </c>
      <c r="O19" s="5">
        <f t="shared" si="0"/>
        <v>19</v>
      </c>
      <c r="P19" s="22">
        <v>0.3</v>
      </c>
      <c r="Q19" s="6">
        <f t="shared" si="1"/>
        <v>5.7</v>
      </c>
      <c r="T19" s="43"/>
      <c r="U19" s="54"/>
      <c r="V19" s="54"/>
      <c r="W19" s="54"/>
      <c r="X19" s="54"/>
      <c r="Y19" s="54"/>
      <c r="Z19" s="54"/>
      <c r="AA19" s="54"/>
      <c r="AB19" s="54"/>
      <c r="AC19" s="54"/>
      <c r="AD19" s="54"/>
      <c r="AE19" s="54"/>
      <c r="AF19" s="54"/>
      <c r="AG19" s="54"/>
      <c r="AH19" s="76"/>
    </row>
    <row r="20" spans="2:34" ht="30" customHeight="1" x14ac:dyDescent="0.3">
      <c r="B20" s="4">
        <v>5</v>
      </c>
      <c r="C20" s="248"/>
      <c r="D20" s="248"/>
      <c r="E20" s="5" t="s">
        <v>1134</v>
      </c>
      <c r="F20" s="248" t="s">
        <v>1169</v>
      </c>
      <c r="G20" s="248"/>
      <c r="H20" s="248"/>
      <c r="I20" s="248"/>
      <c r="J20" s="248"/>
      <c r="K20" s="248"/>
      <c r="L20" s="248"/>
      <c r="M20" s="21">
        <v>44739</v>
      </c>
      <c r="N20" s="21">
        <v>44742</v>
      </c>
      <c r="O20" s="5">
        <f t="shared" si="0"/>
        <v>4</v>
      </c>
      <c r="P20" s="22">
        <v>0.5</v>
      </c>
      <c r="Q20" s="6">
        <f t="shared" si="1"/>
        <v>2</v>
      </c>
      <c r="T20" s="43"/>
      <c r="U20" s="54"/>
      <c r="V20" s="54"/>
      <c r="W20" s="54"/>
      <c r="X20" s="54"/>
      <c r="Y20" s="54"/>
      <c r="Z20" s="54"/>
      <c r="AA20" s="54"/>
      <c r="AB20" s="54"/>
      <c r="AC20" s="54"/>
      <c r="AD20" s="54"/>
      <c r="AE20" s="54"/>
      <c r="AF20" s="54"/>
      <c r="AG20" s="54"/>
      <c r="AH20" s="76"/>
    </row>
    <row r="21" spans="2:34" ht="30" customHeight="1" x14ac:dyDescent="0.3">
      <c r="B21" s="4">
        <v>6</v>
      </c>
      <c r="C21" s="248" t="s">
        <v>1138</v>
      </c>
      <c r="D21" s="248"/>
      <c r="E21" s="5" t="s">
        <v>1138</v>
      </c>
      <c r="F21" s="248" t="s">
        <v>1170</v>
      </c>
      <c r="G21" s="248"/>
      <c r="H21" s="248"/>
      <c r="I21" s="248"/>
      <c r="J21" s="248"/>
      <c r="K21" s="248"/>
      <c r="L21" s="248"/>
      <c r="M21" s="21">
        <v>44709</v>
      </c>
      <c r="N21" s="21">
        <v>44727</v>
      </c>
      <c r="O21" s="5">
        <f t="shared" si="0"/>
        <v>19</v>
      </c>
      <c r="P21" s="22">
        <v>0.2</v>
      </c>
      <c r="Q21" s="6">
        <f t="shared" si="1"/>
        <v>3.8000000000000003</v>
      </c>
      <c r="T21" s="43"/>
      <c r="U21" s="54"/>
      <c r="V21" s="54"/>
      <c r="W21" s="54"/>
      <c r="X21" s="54"/>
      <c r="Y21" s="54"/>
      <c r="Z21" s="54"/>
      <c r="AA21" s="54"/>
      <c r="AB21" s="54"/>
      <c r="AC21" s="54"/>
      <c r="AD21" s="54"/>
      <c r="AE21" s="54"/>
      <c r="AF21" s="54"/>
      <c r="AG21" s="54"/>
      <c r="AH21" s="76"/>
    </row>
    <row r="22" spans="2:34" ht="30" customHeight="1" x14ac:dyDescent="0.3">
      <c r="B22" s="4">
        <v>7</v>
      </c>
      <c r="C22" s="248" t="s">
        <v>1141</v>
      </c>
      <c r="D22" s="248"/>
      <c r="E22" s="5" t="s">
        <v>1142</v>
      </c>
      <c r="F22" s="248" t="s">
        <v>1171</v>
      </c>
      <c r="G22" s="248"/>
      <c r="H22" s="248"/>
      <c r="I22" s="248"/>
      <c r="J22" s="248"/>
      <c r="K22" s="248"/>
      <c r="L22" s="248"/>
      <c r="M22" s="21">
        <v>44771</v>
      </c>
      <c r="N22" s="21">
        <v>44773</v>
      </c>
      <c r="O22" s="5">
        <f t="shared" si="0"/>
        <v>3</v>
      </c>
      <c r="P22" s="22">
        <v>0.4</v>
      </c>
      <c r="Q22" s="6">
        <f t="shared" si="1"/>
        <v>1.2000000000000002</v>
      </c>
      <c r="T22" s="43"/>
      <c r="U22" s="54"/>
      <c r="V22" s="54"/>
      <c r="W22" s="54"/>
      <c r="X22" s="54"/>
      <c r="Y22" s="54"/>
      <c r="Z22" s="54"/>
      <c r="AA22" s="54"/>
      <c r="AB22" s="54"/>
      <c r="AC22" s="54"/>
      <c r="AD22" s="54"/>
      <c r="AE22" s="54"/>
      <c r="AF22" s="54"/>
      <c r="AG22" s="54"/>
      <c r="AH22" s="76"/>
    </row>
    <row r="23" spans="2:34" ht="30" customHeight="1" x14ac:dyDescent="0.3">
      <c r="B23" s="4">
        <v>8</v>
      </c>
      <c r="C23" s="248"/>
      <c r="D23" s="248"/>
      <c r="E23" s="5" t="s">
        <v>1145</v>
      </c>
      <c r="F23" s="248" t="s">
        <v>1171</v>
      </c>
      <c r="G23" s="248"/>
      <c r="H23" s="248"/>
      <c r="I23" s="248"/>
      <c r="J23" s="248"/>
      <c r="K23" s="248"/>
      <c r="L23" s="248"/>
      <c r="M23" s="21">
        <v>44711</v>
      </c>
      <c r="N23" s="21">
        <v>44729</v>
      </c>
      <c r="O23" s="5">
        <f t="shared" si="0"/>
        <v>19</v>
      </c>
      <c r="P23" s="22">
        <v>0.5</v>
      </c>
      <c r="Q23" s="6">
        <f t="shared" si="1"/>
        <v>9.5</v>
      </c>
      <c r="T23" s="43"/>
      <c r="U23" s="54"/>
      <c r="V23" s="54"/>
      <c r="W23" s="54"/>
      <c r="X23" s="54"/>
      <c r="Y23" s="54"/>
      <c r="Z23" s="54"/>
      <c r="AA23" s="54"/>
      <c r="AB23" s="54"/>
      <c r="AC23" s="54"/>
      <c r="AD23" s="54"/>
      <c r="AE23" s="54"/>
      <c r="AF23" s="54"/>
      <c r="AG23" s="54"/>
      <c r="AH23" s="76"/>
    </row>
    <row r="24" spans="2:34" ht="30" customHeight="1" x14ac:dyDescent="0.3">
      <c r="B24" s="4">
        <v>9</v>
      </c>
      <c r="C24" s="248"/>
      <c r="D24" s="248"/>
      <c r="E24" s="5" t="s">
        <v>1172</v>
      </c>
      <c r="F24" s="248" t="s">
        <v>1168</v>
      </c>
      <c r="G24" s="248"/>
      <c r="H24" s="248"/>
      <c r="I24" s="248"/>
      <c r="J24" s="248"/>
      <c r="K24" s="248"/>
      <c r="L24" s="248"/>
      <c r="M24" s="21">
        <v>44804</v>
      </c>
      <c r="N24" s="21">
        <v>44822</v>
      </c>
      <c r="O24" s="5">
        <f t="shared" si="0"/>
        <v>19</v>
      </c>
      <c r="P24" s="22">
        <v>0.5</v>
      </c>
      <c r="Q24" s="6">
        <f t="shared" si="1"/>
        <v>9.5</v>
      </c>
      <c r="T24" s="43"/>
      <c r="U24" s="54"/>
      <c r="V24" s="54"/>
      <c r="W24" s="54"/>
      <c r="X24" s="54"/>
      <c r="Y24" s="54"/>
      <c r="Z24" s="54"/>
      <c r="AA24" s="54"/>
      <c r="AB24" s="54"/>
      <c r="AC24" s="54"/>
      <c r="AD24" s="54"/>
      <c r="AE24" s="54"/>
      <c r="AF24" s="54"/>
      <c r="AG24" s="54"/>
      <c r="AH24" s="76"/>
    </row>
    <row r="25" spans="2:34" ht="30" customHeight="1" x14ac:dyDescent="0.3">
      <c r="B25" s="4"/>
      <c r="C25" s="248"/>
      <c r="D25" s="248"/>
      <c r="E25" s="5" t="s">
        <v>1173</v>
      </c>
      <c r="F25" s="248" t="s">
        <v>1168</v>
      </c>
      <c r="G25" s="248"/>
      <c r="H25" s="248"/>
      <c r="I25" s="248"/>
      <c r="J25" s="248"/>
      <c r="K25" s="248"/>
      <c r="L25" s="248"/>
      <c r="M25" s="21">
        <v>44805</v>
      </c>
      <c r="N25" s="21">
        <v>44845</v>
      </c>
      <c r="O25" s="5">
        <f t="shared" si="0"/>
        <v>41</v>
      </c>
      <c r="P25" s="22">
        <v>0.3</v>
      </c>
      <c r="Q25" s="6">
        <f t="shared" si="1"/>
        <v>12.299999999999999</v>
      </c>
      <c r="T25" s="43"/>
      <c r="U25" s="54"/>
      <c r="V25" s="54"/>
      <c r="W25" s="54"/>
      <c r="X25" s="54"/>
      <c r="Y25" s="54"/>
      <c r="Z25" s="54"/>
      <c r="AA25" s="54"/>
      <c r="AB25" s="54"/>
      <c r="AC25" s="54"/>
      <c r="AD25" s="54"/>
      <c r="AE25" s="54"/>
      <c r="AF25" s="54"/>
      <c r="AG25" s="54"/>
      <c r="AH25" s="76"/>
    </row>
    <row r="26" spans="2:34" ht="30" customHeight="1" x14ac:dyDescent="0.3">
      <c r="B26" s="4">
        <v>10</v>
      </c>
      <c r="C26" s="248"/>
      <c r="D26" s="248"/>
      <c r="E26" s="5" t="s">
        <v>1174</v>
      </c>
      <c r="F26" s="248" t="s">
        <v>1169</v>
      </c>
      <c r="G26" s="248"/>
      <c r="H26" s="248"/>
      <c r="I26" s="248"/>
      <c r="J26" s="248"/>
      <c r="K26" s="248"/>
      <c r="L26" s="248"/>
      <c r="M26" s="21">
        <v>44836</v>
      </c>
      <c r="N26" s="21">
        <v>44854</v>
      </c>
      <c r="O26" s="5">
        <f t="shared" si="0"/>
        <v>19</v>
      </c>
      <c r="P26" s="22">
        <v>0.5</v>
      </c>
      <c r="Q26" s="6">
        <f t="shared" si="1"/>
        <v>9.5</v>
      </c>
      <c r="T26" s="43"/>
      <c r="U26" s="54"/>
      <c r="V26" s="54"/>
      <c r="W26" s="54"/>
      <c r="X26" s="54"/>
      <c r="Y26" s="54"/>
      <c r="Z26" s="54"/>
      <c r="AA26" s="54"/>
      <c r="AB26" s="54"/>
      <c r="AC26" s="54"/>
      <c r="AD26" s="54"/>
      <c r="AE26" s="54"/>
      <c r="AF26" s="54"/>
      <c r="AG26" s="54"/>
      <c r="AH26" s="76"/>
    </row>
    <row r="27" spans="2:34" ht="30" customHeight="1" x14ac:dyDescent="0.3">
      <c r="B27" s="77">
        <v>11</v>
      </c>
      <c r="C27" s="458" t="s">
        <v>1175</v>
      </c>
      <c r="D27" s="458"/>
      <c r="E27" s="78" t="s">
        <v>508</v>
      </c>
      <c r="F27" s="458" t="s">
        <v>1170</v>
      </c>
      <c r="G27" s="458"/>
      <c r="H27" s="458"/>
      <c r="I27" s="458"/>
      <c r="J27" s="458"/>
      <c r="K27" s="458"/>
      <c r="L27" s="458"/>
      <c r="M27" s="79">
        <v>44837</v>
      </c>
      <c r="N27" s="79">
        <v>44895</v>
      </c>
      <c r="O27" s="78">
        <f t="shared" si="0"/>
        <v>59</v>
      </c>
      <c r="P27" s="80">
        <v>0.27</v>
      </c>
      <c r="Q27" s="81">
        <f t="shared" si="1"/>
        <v>15.930000000000001</v>
      </c>
      <c r="T27" s="43"/>
      <c r="U27" s="54"/>
      <c r="V27" s="54"/>
      <c r="W27" s="54"/>
      <c r="X27" s="54"/>
      <c r="Y27" s="54"/>
      <c r="Z27" s="54"/>
      <c r="AA27" s="54"/>
      <c r="AB27" s="54"/>
      <c r="AC27" s="54"/>
      <c r="AD27" s="54"/>
      <c r="AE27" s="54"/>
      <c r="AF27" s="54"/>
      <c r="AG27" s="54"/>
      <c r="AH27" s="76"/>
    </row>
    <row r="28" spans="2:34" ht="30" customHeight="1" x14ac:dyDescent="0.3">
      <c r="B28" s="457" t="s">
        <v>1176</v>
      </c>
      <c r="C28" s="457"/>
      <c r="D28" s="457"/>
      <c r="E28" s="457"/>
      <c r="F28" s="457"/>
      <c r="G28" s="457"/>
      <c r="H28" s="457"/>
      <c r="I28" s="457"/>
      <c r="J28" s="457"/>
      <c r="K28" s="457"/>
      <c r="L28" s="457"/>
      <c r="M28" s="82">
        <v>44697</v>
      </c>
      <c r="N28" s="82">
        <v>44865</v>
      </c>
      <c r="O28" s="34">
        <f t="shared" si="0"/>
        <v>169</v>
      </c>
      <c r="P28" s="83">
        <f>SUM(P16:P27)/COUNT(P16:P27)</f>
        <v>0.49750000000000005</v>
      </c>
      <c r="Q28" s="10">
        <f t="shared" si="1"/>
        <v>84.077500000000015</v>
      </c>
      <c r="T28" s="48"/>
      <c r="U28" s="84"/>
      <c r="V28" s="84"/>
      <c r="W28" s="84"/>
      <c r="X28" s="84"/>
      <c r="Y28" s="84"/>
      <c r="Z28" s="84"/>
      <c r="AA28" s="84"/>
      <c r="AB28" s="84"/>
      <c r="AC28" s="84"/>
      <c r="AD28" s="84"/>
      <c r="AE28" s="84"/>
      <c r="AF28" s="84"/>
      <c r="AG28" s="84"/>
      <c r="AH28" s="85"/>
    </row>
    <row r="29" spans="2:34" ht="24.95" customHeight="1" x14ac:dyDescent="0.3"/>
    <row r="30" spans="2:34" ht="24.95" customHeight="1" x14ac:dyDescent="0.3"/>
    <row r="31" spans="2:34" ht="24.95" customHeight="1" x14ac:dyDescent="0.3"/>
    <row r="32" spans="2:34" ht="24.95" customHeight="1" x14ac:dyDescent="0.3"/>
    <row r="33" ht="24.95" customHeight="1" x14ac:dyDescent="0.3"/>
    <row r="34" ht="24.95" customHeight="1" x14ac:dyDescent="0.3"/>
    <row r="35" ht="24.95" customHeight="1" x14ac:dyDescent="0.3"/>
    <row r="36" ht="24.95" customHeight="1" x14ac:dyDescent="0.3"/>
    <row r="37" ht="24.95" customHeight="1" x14ac:dyDescent="0.3"/>
    <row r="38" ht="24.95" customHeight="1" x14ac:dyDescent="0.3"/>
    <row r="39" ht="24.95" customHeight="1" x14ac:dyDescent="0.3"/>
    <row r="40" ht="24.95" customHeight="1" x14ac:dyDescent="0.3"/>
    <row r="41" ht="24.95" customHeight="1" x14ac:dyDescent="0.3"/>
    <row r="42" ht="24.95" customHeight="1" x14ac:dyDescent="0.3"/>
    <row r="43" ht="24.95" customHeight="1" x14ac:dyDescent="0.3"/>
    <row r="44" ht="24.95" customHeight="1" x14ac:dyDescent="0.3"/>
    <row r="45" ht="24.95" customHeight="1" x14ac:dyDescent="0.3"/>
    <row r="46" ht="24.95" customHeight="1" x14ac:dyDescent="0.3"/>
    <row r="47" ht="24.95" customHeight="1" x14ac:dyDescent="0.3"/>
    <row r="48" ht="24.95" customHeight="1" x14ac:dyDescent="0.3"/>
    <row r="49" ht="24.95" customHeight="1" x14ac:dyDescent="0.3"/>
    <row r="50" ht="24.95" customHeight="1" x14ac:dyDescent="0.3"/>
    <row r="51" ht="24.95" customHeight="1" x14ac:dyDescent="0.3"/>
    <row r="52" ht="24.95"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24.95" customHeight="1" x14ac:dyDescent="0.3"/>
    <row r="62" ht="24.95" customHeight="1" x14ac:dyDescent="0.3"/>
    <row r="63" ht="24.95" customHeight="1" x14ac:dyDescent="0.3"/>
    <row r="64" ht="24.95" customHeight="1" x14ac:dyDescent="0.3"/>
    <row r="65" ht="24.95" customHeight="1" x14ac:dyDescent="0.3"/>
  </sheetData>
  <mergeCells count="55">
    <mergeCell ref="B2:AH3"/>
    <mergeCell ref="B5:D5"/>
    <mergeCell ref="E5:L5"/>
    <mergeCell ref="N5:Q5"/>
    <mergeCell ref="T5:AH7"/>
    <mergeCell ref="B6:D6"/>
    <mergeCell ref="E6:L6"/>
    <mergeCell ref="N6:Q6"/>
    <mergeCell ref="B7:D7"/>
    <mergeCell ref="E7:Q7"/>
    <mergeCell ref="B8:Q8"/>
    <mergeCell ref="B9:Q12"/>
    <mergeCell ref="B14:B15"/>
    <mergeCell ref="C14:E14"/>
    <mergeCell ref="F14:G15"/>
    <mergeCell ref="H14:L15"/>
    <mergeCell ref="M14:Q14"/>
    <mergeCell ref="C15:D15"/>
    <mergeCell ref="C16:D16"/>
    <mergeCell ref="F16:G16"/>
    <mergeCell ref="H16:L16"/>
    <mergeCell ref="C17:D17"/>
    <mergeCell ref="F17:G17"/>
    <mergeCell ref="H17:L17"/>
    <mergeCell ref="C18:D18"/>
    <mergeCell ref="F18:G18"/>
    <mergeCell ref="H18:L18"/>
    <mergeCell ref="C19:D19"/>
    <mergeCell ref="F19:G19"/>
    <mergeCell ref="H19:L19"/>
    <mergeCell ref="C20:D20"/>
    <mergeCell ref="F20:G20"/>
    <mergeCell ref="H20:L20"/>
    <mergeCell ref="C21:D21"/>
    <mergeCell ref="F21:G21"/>
    <mergeCell ref="H21:L21"/>
    <mergeCell ref="C22:D22"/>
    <mergeCell ref="F22:G22"/>
    <mergeCell ref="H22:L22"/>
    <mergeCell ref="C23:D23"/>
    <mergeCell ref="F23:G23"/>
    <mergeCell ref="H23:L23"/>
    <mergeCell ref="C24:D24"/>
    <mergeCell ref="F24:G24"/>
    <mergeCell ref="H24:L24"/>
    <mergeCell ref="C25:D25"/>
    <mergeCell ref="F25:G25"/>
    <mergeCell ref="H25:L25"/>
    <mergeCell ref="B28:L28"/>
    <mergeCell ref="C26:D26"/>
    <mergeCell ref="F26:G26"/>
    <mergeCell ref="H26:L26"/>
    <mergeCell ref="C27:D27"/>
    <mergeCell ref="F27:G27"/>
    <mergeCell ref="H27:L27"/>
  </mergeCells>
  <phoneticPr fontId="45" type="noConversion"/>
  <pageMargins left="0.7" right="0.7" top="0.75" bottom="0.75" header="0.51180555555555496" footer="0.51180555555555496"/>
  <pageSetup paperSize="9" firstPageNumber="0" orientation="portrait" horizontalDpi="300" verticalDpi="300"/>
  <drawing r:id="rId1"/>
</worksheet>
</file>

<file path=docProps/app.xml><?xml version="1.0" encoding="utf-8"?>
<Properties xmlns="http://schemas.openxmlformats.org/officeDocument/2006/extended-properties" xmlns:vt="http://schemas.openxmlformats.org/officeDocument/2006/docPropsVTypes">
  <Template/>
  <TotalTime>31</TotalTime>
  <Application>Microsoft Excel</Application>
  <DocSecurity>0</DocSecurity>
  <ScaleCrop>false</ScaleCrop>
  <HeadingPairs>
    <vt:vector size="2" baseType="variant">
      <vt:variant>
        <vt:lpstr>워크시트</vt:lpstr>
      </vt:variant>
      <vt:variant>
        <vt:i4>21</vt:i4>
      </vt:variant>
    </vt:vector>
  </HeadingPairs>
  <TitlesOfParts>
    <vt:vector size="21" baseType="lpstr">
      <vt:lpstr>00_팀프로젝트_큰틀</vt:lpstr>
      <vt:lpstr>00_주의사항</vt:lpstr>
      <vt:lpstr>00_목록</vt:lpstr>
      <vt:lpstr>01_프로젝트개요</vt:lpstr>
      <vt:lpstr>02_시스템구조도(흐름도)</vt:lpstr>
      <vt:lpstr>03_기능정의서</vt:lpstr>
      <vt:lpstr>05_상세자료입력</vt:lpstr>
      <vt:lpstr>04_데이터사전</vt:lpstr>
      <vt:lpstr>06_DB(객체)목록</vt:lpstr>
      <vt:lpstr>07_테이블정의서</vt:lpstr>
      <vt:lpstr>08_ERD</vt:lpstr>
      <vt:lpstr>09_DB백업(테이블생성및insert)</vt:lpstr>
      <vt:lpstr>10_Query문장테스트</vt:lpstr>
      <vt:lpstr>11_네이밍규칙</vt:lpstr>
      <vt:lpstr>12_화면프로그램목록</vt:lpstr>
      <vt:lpstr>13_화면설계서</vt:lpstr>
      <vt:lpstr>14_화면경로</vt:lpstr>
      <vt:lpstr>15_클래스경로</vt:lpstr>
      <vt:lpstr>16_URI매핑</vt:lpstr>
      <vt:lpstr>17_사이트맵</vt:lpstr>
      <vt:lpstr>18_프로젝트상세일정</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ehnetworks</dc:creator>
  <dc:description/>
  <cp:lastModifiedBy>ECS</cp:lastModifiedBy>
  <cp:revision>1</cp:revision>
  <dcterms:created xsi:type="dcterms:W3CDTF">2021-02-02T00:28:52Z</dcterms:created>
  <dcterms:modified xsi:type="dcterms:W3CDTF">2024-05-22T01:06:38Z</dcterms:modified>
  <dc:language>ko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